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worksheets/sheet2.xml" ContentType="application/vnd.openxmlformats-officedocument.spreadsheetml.worksheet+xml"/>
  <Override PartName="/xl/tables/table1.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Data" sheetId="2" state="visible" r:id="rId2"/>
  </sheets>
  <definedNames/>
  <calcPr calcId="124519" fullCalcOnLoad="1"/>
  <pivotCaches>
    <pivotCache xmlns:r="http://schemas.openxmlformats.org/officeDocument/2006/relationships" cacheId="1" r:id="rId3"/>
  </pivotCaches>
</workbook>
</file>

<file path=xl/styles.xml><?xml version="1.0" encoding="utf-8"?>
<styleSheet xmlns="http://schemas.openxmlformats.org/spreadsheetml/2006/main">
  <numFmts count="0"/>
  <fonts count="16">
    <font>
      <name val="Calibri"/>
      <family val="2"/>
      <color theme="1"/>
      <sz val="11"/>
      <scheme val="minor"/>
    </font>
    <font>
      <name val="Calibri"/>
      <b val="1"/>
      <color rgb="00FFFFFF"/>
    </font>
    <font>
      <name val="Calibri"/>
      <sz val="10"/>
    </font>
    <font>
      <name val="Calibri"/>
      <b val="1"/>
      <color rgb="00FFFFFF"/>
      <sz val="22"/>
    </font>
    <font>
      <name val="Calibri"/>
      <b val="1"/>
      <color rgb="001F4E5C"/>
      <sz val="10"/>
    </font>
    <font>
      <name val="Calibri"/>
      <i val="1"/>
      <color rgb="00FFFFFF"/>
      <sz val="8"/>
    </font>
    <font>
      <name val="Calibri"/>
      <i val="1"/>
      <color rgb="0095A5A6"/>
      <sz val="11"/>
    </font>
    <font>
      <name val="Calibri"/>
      <b val="1"/>
      <color rgb="0095A5A6"/>
      <sz val="9"/>
    </font>
    <font>
      <name val="Calibri"/>
      <b val="1"/>
      <color rgb="001F4E5C"/>
      <sz val="24"/>
    </font>
    <font>
      <name val="Calibri"/>
      <b val="1"/>
      <color rgb="002E8B8B"/>
      <sz val="20"/>
    </font>
    <font>
      <name val="Calibri"/>
      <b val="1"/>
      <color rgb="002E8B8B"/>
      <sz val="24"/>
    </font>
    <font>
      <name val="Calibri"/>
      <b val="1"/>
      <color rgb="00C0392B"/>
      <sz val="20"/>
    </font>
    <font>
      <name val="Calibri"/>
      <b val="1"/>
      <color rgb="00C0392B"/>
      <sz val="24"/>
    </font>
    <font>
      <name val="Calibri"/>
      <b val="1"/>
      <color rgb="0095A5A6"/>
      <sz val="24"/>
    </font>
    <font>
      <name val="Calibri"/>
      <i val="1"/>
      <color rgb="001F4E5C"/>
      <sz val="10"/>
    </font>
    <font>
      <name val="Calibri"/>
      <b val="1"/>
      <color rgb="001F4E5C"/>
      <sz val="12"/>
    </font>
  </fonts>
  <fills count="6">
    <fill>
      <patternFill/>
    </fill>
    <fill>
      <patternFill patternType="gray125"/>
    </fill>
    <fill>
      <patternFill patternType="solid">
        <fgColor rgb="001F4E5C"/>
      </patternFill>
    </fill>
    <fill>
      <patternFill patternType="solid">
        <fgColor rgb="00D4AC0D"/>
      </patternFill>
    </fill>
    <fill>
      <patternFill patternType="solid">
        <fgColor rgb="00EAF2F2"/>
      </patternFill>
    </fill>
    <fill>
      <patternFill patternType="solid">
        <fgColor rgb="00FFFFFF"/>
      </patternFill>
    </fill>
  </fills>
  <borders count="11">
    <border>
      <left/>
      <right/>
      <top/>
      <bottom/>
      <diagonal/>
    </border>
    <border>
      <left style="thin">
        <color rgb="00D0D0D0"/>
      </left>
      <right style="thin">
        <color rgb="00D0D0D0"/>
      </right>
      <top style="thin">
        <color rgb="00D0D0D0"/>
      </top>
      <bottom style="thin">
        <color rgb="00D0D0D0"/>
      </bottom>
    </border>
    <border>
      <left/>
      <right/>
      <top style="thin">
        <color rgb="00D0D0D0"/>
      </top>
      <bottom/>
      <diagonal/>
    </border>
    <border>
      <left style="thin">
        <color rgb="00D0D0D0"/>
      </left>
      <right/>
      <top/>
      <bottom/>
      <diagonal/>
    </border>
    <border>
      <left/>
      <right style="thin">
        <color rgb="00D0D0D0"/>
      </right>
      <top style="thin">
        <color rgb="00D0D0D0"/>
      </top>
      <bottom/>
      <diagonal/>
    </border>
    <border>
      <left/>
      <right style="thin">
        <color rgb="00D0D0D0"/>
      </right>
      <top/>
      <bottom/>
      <diagonal/>
    </border>
    <border>
      <left style="thin">
        <color rgb="00D0D0D0"/>
      </left>
      <right/>
      <top/>
      <bottom style="thin">
        <color rgb="00D0D0D0"/>
      </bottom>
      <diagonal/>
    </border>
    <border>
      <left/>
      <right/>
      <top/>
      <bottom style="thin">
        <color rgb="00D0D0D0"/>
      </bottom>
      <diagonal/>
    </border>
    <border>
      <left/>
      <right style="thin">
        <color rgb="00D0D0D0"/>
      </right>
      <top/>
      <bottom style="thin">
        <color rgb="00D0D0D0"/>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27">
    <xf numFmtId="0" fontId="0" fillId="0" borderId="0" pivotButton="0" quotePrefix="0" xfId="0"/>
    <xf numFmtId="0" fontId="3" fillId="2" borderId="0" applyAlignment="1" pivotButton="0" quotePrefix="0" xfId="0">
      <alignment horizontal="left" vertical="center" indent="1"/>
    </xf>
    <xf numFmtId="0" fontId="0" fillId="2" borderId="0" pivotButton="0" quotePrefix="0" xfId="0"/>
    <xf numFmtId="0" fontId="4" fillId="3" borderId="0" applyAlignment="1" pivotButton="0" quotePrefix="0" xfId="0">
      <alignment horizontal="center" vertical="center"/>
    </xf>
    <xf numFmtId="0" fontId="5" fillId="2" borderId="0" applyAlignment="1" pivotButton="0" quotePrefix="0" xfId="0">
      <alignment horizontal="center" vertical="center"/>
    </xf>
    <xf numFmtId="0" fontId="6" fillId="0" borderId="0" applyAlignment="1" pivotButton="0" quotePrefix="0" xfId="0">
      <alignment horizontal="left" vertical="center" indent="1"/>
    </xf>
    <xf numFmtId="0" fontId="7" fillId="4" borderId="1" applyAlignment="1" pivotButton="0" quotePrefix="0" xfId="0">
      <alignment horizontal="center" vertical="center" wrapText="1"/>
    </xf>
    <xf numFmtId="0" fontId="0" fillId="4" borderId="1" pivotButton="0" quotePrefix="0" xfId="0"/>
    <xf numFmtId="3" fontId="8" fillId="5" borderId="1" applyAlignment="1" pivotButton="0" quotePrefix="0" xfId="0">
      <alignment horizontal="center" vertical="center"/>
    </xf>
    <xf numFmtId="0" fontId="0" fillId="5" borderId="1" pivotButton="0" quotePrefix="0" xfId="0"/>
    <xf numFmtId="0" fontId="9" fillId="5" borderId="1" applyAlignment="1" pivotButton="0" quotePrefix="0" xfId="0">
      <alignment horizontal="center" vertical="center" wrapText="1"/>
    </xf>
    <xf numFmtId="3" fontId="10" fillId="5" borderId="1" applyAlignment="1" pivotButton="0" quotePrefix="0" xfId="0">
      <alignment horizontal="center" vertical="center"/>
    </xf>
    <xf numFmtId="0" fontId="11" fillId="5" borderId="1" applyAlignment="1" pivotButton="0" quotePrefix="0" xfId="0">
      <alignment horizontal="center" vertical="center" wrapText="1"/>
    </xf>
    <xf numFmtId="3" fontId="12" fillId="5" borderId="1" applyAlignment="1" pivotButton="0" quotePrefix="0" xfId="0">
      <alignment horizontal="center" vertical="center"/>
    </xf>
    <xf numFmtId="3" fontId="13" fillId="5" borderId="1" applyAlignment="1" pivotButton="0" quotePrefix="0" xfId="0">
      <alignment horizontal="center" vertical="center"/>
    </xf>
    <xf numFmtId="0" fontId="14" fillId="4" borderId="0" applyAlignment="1" pivotButton="0" quotePrefix="0" xfId="0">
      <alignment horizontal="left" vertical="center"/>
    </xf>
    <xf numFmtId="0" fontId="0" fillId="4" borderId="0" pivotButton="0" quotePrefix="0" xfId="0"/>
    <xf numFmtId="0" fontId="15"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xf>
    <xf numFmtId="0" fontId="0" fillId="0" borderId="9" pivotButton="0" quotePrefix="0" xfId="0"/>
    <xf numFmtId="0" fontId="0" fillId="0" borderId="10" pivotButton="0" quotePrefix="0" xfId="0"/>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pivotCacheDefinition" Target="/xl/pivotCache/pivotCacheDefinition1.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rPr sz="1200" b="1">
                <a:solidFill>
                  <a:srgbClr val="1F4E5C"/>
                </a:solidFill>
              </a:rPr>
              <a:t>Harm</a:t>
            </a:r>
          </a:p>
        </rich>
      </tx>
    </title>
    <plotArea>
      <doughnutChart>
        <varyColors val="1"/>
        <ser>
          <idx val="0"/>
          <order val="0"/>
          <tx>
            <strRef>
              <f>'Dashboard'!B53</f>
            </strRef>
          </tx>
          <spPr>
            <a:ln xmlns:a="http://schemas.openxmlformats.org/drawingml/2006/main">
              <a:prstDash val="solid"/>
            </a:ln>
          </spPr>
          <dPt>
            <idx val="0"/>
            <spPr>
              <a:solidFill xmlns:a="http://schemas.openxmlformats.org/drawingml/2006/main">
                <a:srgbClr val="2E8B8B"/>
              </a:solidFill>
              <a:ln xmlns:a="http://schemas.openxmlformats.org/drawingml/2006/main">
                <a:prstDash val="solid"/>
              </a:ln>
            </spPr>
          </dPt>
          <dPt>
            <idx val="1"/>
            <spPr>
              <a:solidFill xmlns:a="http://schemas.openxmlformats.org/drawingml/2006/main">
                <a:srgbClr val="1F4E5C"/>
              </a:solidFill>
              <a:ln xmlns:a="http://schemas.openxmlformats.org/drawingml/2006/main">
                <a:prstDash val="solid"/>
              </a:ln>
            </spPr>
          </dPt>
          <cat>
            <numRef>
              <f>'Dashboard'!$A$54:$A$55</f>
            </numRef>
          </cat>
          <val>
            <numRef>
              <f>'Dashboard'!$B$54:$B$55</f>
            </numRef>
          </val>
        </ser>
        <dLbls>
          <showLegendKey val="0"/>
          <showVal val="1"/>
          <showCatName val="0"/>
          <showSerName val="0"/>
          <showPercent val="0"/>
        </dLbls>
        <firstSliceAng val="0"/>
        <holeSize val="55"/>
      </doughnutChart>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rPr sz="1200" b="1">
                <a:solidFill>
                  <a:srgbClr val="1F4E5C"/>
                </a:solidFill>
              </a:rPr>
              <a:t>Month</a:t>
            </a:r>
          </a:p>
        </rich>
      </tx>
    </title>
    <plotArea>
      <doughnutChart>
        <varyColors val="1"/>
        <ser>
          <idx val="0"/>
          <order val="0"/>
          <tx>
            <strRef>
              <f>'Dashboard'!B59</f>
            </strRef>
          </tx>
          <spPr>
            <a:ln xmlns:a="http://schemas.openxmlformats.org/drawingml/2006/main">
              <a:prstDash val="solid"/>
            </a:ln>
          </spPr>
          <dPt>
            <idx val="0"/>
            <spPr>
              <a:solidFill xmlns:a="http://schemas.openxmlformats.org/drawingml/2006/main">
                <a:srgbClr val="2E8B8B"/>
              </a:solidFill>
              <a:ln xmlns:a="http://schemas.openxmlformats.org/drawingml/2006/main">
                <a:prstDash val="solid"/>
              </a:ln>
            </spPr>
          </dPt>
          <dPt>
            <idx val="1"/>
            <spPr>
              <a:solidFill xmlns:a="http://schemas.openxmlformats.org/drawingml/2006/main">
                <a:srgbClr val="1F4E5C"/>
              </a:solidFill>
              <a:ln xmlns:a="http://schemas.openxmlformats.org/drawingml/2006/main">
                <a:prstDash val="solid"/>
              </a:ln>
            </spPr>
          </dPt>
          <dPt>
            <idx val="2"/>
            <spPr>
              <a:solidFill xmlns:a="http://schemas.openxmlformats.org/drawingml/2006/main">
                <a:srgbClr val="C0392B"/>
              </a:solidFill>
              <a:ln xmlns:a="http://schemas.openxmlformats.org/drawingml/2006/main">
                <a:prstDash val="solid"/>
              </a:ln>
            </spPr>
          </dPt>
          <cat>
            <numRef>
              <f>'Dashboard'!$A$60:$A$62</f>
            </numRef>
          </cat>
          <val>
            <numRef>
              <f>'Dashboard'!$B$60:$B$62</f>
            </numRef>
          </val>
        </ser>
        <dLbls>
          <showLegendKey val="0"/>
          <showVal val="1"/>
          <showCatName val="0"/>
          <showSerName val="0"/>
          <showPercent val="0"/>
        </dLbls>
        <firstSliceAng val="0"/>
        <holeSize val="55"/>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rPr sz="1200" b="1">
                <a:solidFill>
                  <a:srgbClr val="1F4E5C"/>
                </a:solidFill>
              </a:rPr>
              <a:t>Severity</a:t>
            </a:r>
          </a:p>
        </rich>
      </tx>
    </title>
    <plotArea>
      <doughnutChart>
        <varyColors val="1"/>
        <ser>
          <idx val="0"/>
          <order val="0"/>
          <tx>
            <strRef>
              <f>'Dashboard'!B66</f>
            </strRef>
          </tx>
          <spPr>
            <a:ln xmlns:a="http://schemas.openxmlformats.org/drawingml/2006/main">
              <a:prstDash val="solid"/>
            </a:ln>
          </spPr>
          <dPt>
            <idx val="0"/>
            <spPr>
              <a:solidFill xmlns:a="http://schemas.openxmlformats.org/drawingml/2006/main">
                <a:srgbClr val="2E8B8B"/>
              </a:solidFill>
              <a:ln xmlns:a="http://schemas.openxmlformats.org/drawingml/2006/main">
                <a:prstDash val="solid"/>
              </a:ln>
            </spPr>
          </dPt>
          <dPt>
            <idx val="1"/>
            <spPr>
              <a:solidFill xmlns:a="http://schemas.openxmlformats.org/drawingml/2006/main">
                <a:srgbClr val="1F4E5C"/>
              </a:solidFill>
              <a:ln xmlns:a="http://schemas.openxmlformats.org/drawingml/2006/main">
                <a:prstDash val="solid"/>
              </a:ln>
            </spPr>
          </dPt>
          <dPt>
            <idx val="2"/>
            <spPr>
              <a:solidFill xmlns:a="http://schemas.openxmlformats.org/drawingml/2006/main">
                <a:srgbClr val="C0392B"/>
              </a:solidFill>
              <a:ln xmlns:a="http://schemas.openxmlformats.org/drawingml/2006/main">
                <a:prstDash val="solid"/>
              </a:ln>
            </spPr>
          </dPt>
          <dPt>
            <idx val="3"/>
            <spPr>
              <a:solidFill xmlns:a="http://schemas.openxmlformats.org/drawingml/2006/main">
                <a:srgbClr val="E67E22"/>
              </a:solidFill>
              <a:ln xmlns:a="http://schemas.openxmlformats.org/drawingml/2006/main">
                <a:prstDash val="solid"/>
              </a:ln>
            </spPr>
          </dPt>
          <cat>
            <numRef>
              <f>'Dashboard'!$A$67:$A$70</f>
            </numRef>
          </cat>
          <val>
            <numRef>
              <f>'Dashboard'!$B$67:$B$70</f>
            </numRef>
          </val>
        </ser>
        <dLbls>
          <showLegendKey val="0"/>
          <showVal val="1"/>
          <showCatName val="0"/>
          <showSerName val="0"/>
          <showPercent val="0"/>
        </dLbls>
        <firstSliceAng val="0"/>
        <holeSize val="55"/>
      </doughnutChart>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rPr sz="1200" b="1">
                <a:solidFill>
                  <a:srgbClr val="1F4E5C"/>
                </a:solidFill>
              </a:rPr>
              <a:t>Relevant Directorate</a:t>
            </a:r>
          </a:p>
        </rich>
      </tx>
    </title>
    <plotArea>
      <barChart>
        <barDir val="bar"/>
        <grouping val="clustered"/>
        <ser>
          <idx val="0"/>
          <order val="0"/>
          <spPr>
            <a:solidFill xmlns:a="http://schemas.openxmlformats.org/drawingml/2006/main">
              <a:srgbClr val="E67E22"/>
            </a:solidFill>
            <a:ln xmlns:a="http://schemas.openxmlformats.org/drawingml/2006/main">
              <a:prstDash val="solid"/>
            </a:ln>
          </spPr>
          <cat>
            <numRef>
              <f>'Dashboard'!$A$75:$A$82</f>
            </numRef>
          </cat>
          <val>
            <numRef>
              <f>'Dashboard'!$B$75:$B$82</f>
            </numRef>
          </val>
        </ser>
        <dLbls>
          <showLegendKey val="0"/>
          <showVal val="1"/>
          <showCatName val="0"/>
          <showSerName val="0"/>
          <showPercent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rPr sz="1200" b="1">
                <a:solidFill>
                  <a:srgbClr val="1F4E5C"/>
                </a:solidFill>
              </a:rPr>
              <a:t>Department  (top 10)</a:t>
            </a:r>
          </a:p>
        </rich>
      </tx>
    </title>
    <plotArea>
      <barChart>
        <barDir val="bar"/>
        <grouping val="clustered"/>
        <ser>
          <idx val="0"/>
          <order val="0"/>
          <spPr>
            <a:solidFill xmlns:a="http://schemas.openxmlformats.org/drawingml/2006/main">
              <a:srgbClr val="F1C40F"/>
            </a:solidFill>
            <a:ln xmlns:a="http://schemas.openxmlformats.org/drawingml/2006/main">
              <a:prstDash val="solid"/>
            </a:ln>
          </spPr>
          <cat>
            <numRef>
              <f>'Dashboard'!$A$87:$A$96</f>
            </numRef>
          </cat>
          <val>
            <numRef>
              <f>'Dashboard'!$B$87:$B$96</f>
            </numRef>
          </val>
        </ser>
        <dLbls>
          <showLegendKey val="0"/>
          <showVal val="1"/>
          <showCatName val="0"/>
          <showSerName val="0"/>
          <showPercent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rPr sz="1200" b="1">
                <a:solidFill>
                  <a:srgbClr val="1F4E5C"/>
                </a:solidFill>
              </a:rPr>
              <a:t>Affinity  (top 10)</a:t>
            </a:r>
          </a:p>
        </rich>
      </tx>
    </title>
    <plotArea>
      <barChart>
        <barDir val="bar"/>
        <grouping val="clustered"/>
        <ser>
          <idx val="0"/>
          <order val="0"/>
          <spPr>
            <a:solidFill xmlns:a="http://schemas.openxmlformats.org/drawingml/2006/main">
              <a:srgbClr val="27AE60"/>
            </a:solidFill>
            <a:ln xmlns:a="http://schemas.openxmlformats.org/drawingml/2006/main">
              <a:prstDash val="solid"/>
            </a:ln>
          </spPr>
          <cat>
            <numRef>
              <f>'Dashboard'!$A$128:$A$137</f>
            </numRef>
          </cat>
          <val>
            <numRef>
              <f>'Dashboard'!$B$128:$B$137</f>
            </numRef>
          </val>
        </ser>
        <dLbls>
          <showLegendKey val="0"/>
          <showVal val="1"/>
          <showCatName val="0"/>
          <showSerName val="0"/>
          <showPercent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drawing1.xml><?xml version="1.0" encoding="utf-8"?>
<wsDr xmlns="http://schemas.openxmlformats.org/drawingml/2006/spreadsheetDrawing">
  <oneCellAnchor>
    <from>
      <col>0</col>
      <colOff>0</colOff>
      <row>9</row>
      <rowOff>0</rowOff>
    </from>
    <ext cx="34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9</row>
      <rowOff>0</rowOff>
    </from>
    <ext cx="34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18</col>
      <colOff>0</colOff>
      <row>9</row>
      <rowOff>0</rowOff>
    </from>
    <ext cx="3420000" cy="28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27</row>
      <rowOff>0</rowOff>
    </from>
    <ext cx="4500000" cy="342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oneCellAnchor>
    <from>
      <col>9</col>
      <colOff>0</colOff>
      <row>27</row>
      <rowOff>0</rowOff>
    </from>
    <ext cx="4500000" cy="3420000"/>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oneCellAnchor>
  <oneCellAnchor>
    <from>
      <col>18</col>
      <colOff>0</colOff>
      <row>27</row>
      <rowOff>0</rowOff>
    </from>
    <ext cx="4500000" cy="3420000"/>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one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saveData="1" refreshOnLoad="1" createdVersion="8" refreshedVersion="8" minRefreshableVersion="3" recordCount="69" r:id="rId1">
  <cacheSource type="worksheet">
    <worksheetSource ref="A1:AD70" sheet="Data"/>
  </cacheSource>
  <cacheFields count="30">
    <cacheField name="Sr. no." uniqueList="1" sqlType="0" hierarchy="0" level="0" databaseField="1">
      <sharedItems count="0" containsBlank="0" containsInteger="1" containsNumber="1" containsString="0"/>
    </cacheField>
    <cacheField name="Year" uniqueList="1" sqlType="0" hierarchy="0" level="0" databaseField="1">
      <sharedItems count="0" containsBlank="0" containsInteger="1" containsNumber="1" containsString="0"/>
    </cacheField>
    <cacheField name="Month" uniqueList="1" sqlType="0" hierarchy="0" level="0" databaseField="1">
      <sharedItems count="3" containsBlank="0" containsString="1">
        <s v="January"/>
        <s v="March"/>
        <s v="February"/>
      </sharedItems>
    </cacheField>
    <cacheField name="Column3" uniqueList="1" sqlType="0" hierarchy="0" level="0" databaseField="1">
      <sharedItems count="0" containsBlank="0" containsInteger="1" containsNumber="1" containsString="0"/>
    </cacheField>
    <cacheField name="Complaint No." uniqueList="1" sqlType="0" hierarchy="0" level="0" databaseField="1">
      <sharedItems count="0" containsBlank="0" containsString="1"/>
    </cacheField>
    <cacheField name="Acknowledgement Call Made to Complainant (Date)" uniqueList="1" sqlType="0" hierarchy="0" level="0" databaseField="1">
      <sharedItems count="0" containsBlank="1" containsString="1"/>
    </cacheField>
    <cacheField name="Patient Name" uniqueList="1" sqlType="0" hierarchy="0" level="0" databaseField="1">
      <sharedItems count="0" containsBlank="1" containsString="1"/>
    </cacheField>
    <cacheField name="MRN" uniqueList="1" sqlType="0" hierarchy="0" level="0" databaseField="1">
      <sharedItems count="0" containsBlank="1" containsInteger="1" containsNumber="1" containsString="0"/>
    </cacheField>
    <cacheField name="Complainant Name" uniqueList="1" sqlType="0" hierarchy="0" level="0" databaseField="1">
      <sharedItems count="0" containsBlank="1" containsString="1"/>
    </cacheField>
    <cacheField name="Contact no." uniqueList="1" sqlType="0" hierarchy="0" level="0" databaseField="1">
      <sharedItems count="0" containsBlank="1" containsString="1"/>
    </cacheField>
    <cacheField name="Address" uniqueList="1" sqlType="0" hierarchy="0" level="0" databaseField="1">
      <sharedItems count="0" containsBlank="1" containsString="1"/>
    </cacheField>
    <cacheField name="Initial Complaint Submitted to Director Quality (Date)" uniqueList="1" sqlType="0" hierarchy="0" level="0" databaseField="1">
      <sharedItems count="0" containsBlank="1" containsInteger="1" containsNumber="1" containsString="0"/>
    </cacheField>
    <cacheField name="Marked by Director Quality (Date)" uniqueList="1" sqlType="0" hierarchy="0" level="0" databaseField="1">
      <sharedItems count="0" containsBlank="1" containsInteger="1" containsNumber="1" containsString="0"/>
    </cacheField>
    <cacheField name="Response Deadline for Department (set by Director Quality)" uniqueList="1" sqlType="0" hierarchy="0" level="0" databaseField="1">
      <sharedItems count="0" containsBlank="1" containsString="1"/>
    </cacheField>
    <cacheField name="Due date for response" uniqueList="1" sqlType="0" hierarchy="0" level="0" databaseField="1">
      <sharedItems count="0" containsBlank="1" containsString="1"/>
    </cacheField>
    <cacheField name="Due time for respons" uniqueList="1" sqlType="0" hierarchy="0" level="0" databaseField="1">
      <sharedItems count="0" containsBlank="1" containsString="1"/>
    </cacheField>
    <cacheField name="Department" uniqueList="1" sqlType="0" hierarchy="0" level="0" databaseField="1">
      <sharedItems count="37" containsBlank="0" containsString="1">
        <s v="Nursing"/>
        <s v="Financial Screening"/>
        <s v="Laboratory"/>
        <s v="OPD"/>
        <s v="Gastro"/>
        <s v="Radiology"/>
        <s v="AMU"/>
        <s v="Registration OPD"/>
        <s v="Administration Radiology"/>
        <s v="Nursing OR"/>
        <s v="Supply Chain"/>
        <s v="Admin/ FMS"/>
        <s v="Laboratory/ Phlebotomy"/>
        <s v="KTX"/>
        <s v="Internal Medicine"/>
        <s v="Nuclear Medicine"/>
        <s v="IPD SICU"/>
        <s v="FInancial Screening"/>
        <s v="Dean office"/>
        <s v="FNSD"/>
        <s v="Billing / Finance"/>
        <s v="Radiology/IR"/>
        <s v="Gastro Nephro"/>
        <s v="Gastro OPD"/>
        <s v="Medical Records Dialysis OPD"/>
        <s v="LTX Radiology Billing"/>
        <s v="Internal Medicine/ Oncology GM Operation"/>
        <s v="Gastro AMU"/>
        <s v="Urology"/>
        <s v="Transport"/>
        <s v="Pharmacy Gastro"/>
        <s v="OPD FS"/>
        <s v="Pharmacy AMU"/>
        <s v="LTX Cardiology"/>
        <s v="Security/Admin"/>
        <s v="Radiology/ Pharmacy"/>
        <s v="IT Department"/>
      </sharedItems>
    </cacheField>
    <cacheField name="Forwarded for Departmental Response (Date)" uniqueList="1" sqlType="0" hierarchy="0" level="0" databaseField="1">
      <sharedItems count="0" containsBlank="1" containsString="1"/>
    </cacheField>
    <cacheField name="Forwarded for Departmental Response to (Name)" uniqueList="1" sqlType="0" hierarchy="0" level="0" databaseField="1">
      <sharedItems count="0" containsBlank="0" containsString="1"/>
    </cacheField>
    <cacheField name="Departmental Response Received (Date)" uniqueList="1" sqlType="0" hierarchy="0" level="0" databaseField="1">
      <sharedItems count="0" containsBlank="1" containsString="1"/>
    </cacheField>
    <cacheField name="Relevant Directorate" uniqueList="1" sqlType="0" hierarchy="0" level="0" databaseField="1">
      <sharedItems count="8" containsBlank="0" containsString="1">
        <s v="(Blank)"/>
        <s v="Medical"/>
        <s v="Hospital"/>
        <s v="Medical Directorate"/>
        <s v="Hospital Directorate"/>
        <s v="Medical Hospital"/>
        <s v="Nursing"/>
        <s v="Hospital Medical"/>
      </sharedItems>
    </cacheField>
    <cacheField name="Affinity" uniqueList="1" sqlType="0" hierarchy="0" level="0" databaseField="1">
      <sharedItems count="50" containsBlank="0" containsString="1">
        <s v="FS Staff Unavailability"/>
        <s v="Quality of Care"/>
        <s v="Preop Shifting Delay"/>
        <s v="Staff Attitude"/>
        <s v="OPD Consultation Delay"/>
        <s v="Documentation Error"/>
        <s v="Staff Misconduct"/>
        <s v="Wheelchair Unavailability"/>
        <s v="Service Delay - Lab Tests Reports"/>
        <s v="Quality of Care - Test Results Variation"/>
        <s v="Scans Misplaced"/>
        <s v="Emergency Care Refused"/>
        <s v="Equipment Damage"/>
        <s v="Contaminated Supplies"/>
        <s v="Financial Assessment Dispute"/>
        <s v="Slip &amp; Fall Incident"/>
        <s v="Equipment Incomplete"/>
        <s v="Procedure Cancellation"/>
        <s v="COVID Report Delay"/>
        <s v="PET Scan Denial"/>
        <s v="Recovery Transfer Delay"/>
        <s v="Financial Screening Delay"/>
        <s v="Dialysis Bed Denial"/>
        <s v="Consultation not provided"/>
        <s v="Emergency Bed Unavailability"/>
        <s v="Surgery Cancellation"/>
        <s v="Surgical Instrument Incomplete"/>
        <s v="Incorrect Billing"/>
        <s v="Critical Medication Delay"/>
        <s v="Post-Procedure Complication"/>
        <s v="Lab Report Delay"/>
        <s v="Dialysis Negligence"/>
        <s v="Follow-up Care Delay"/>
        <s v="Token Mismanagement"/>
        <s v="Missing Medical File"/>
        <s v="Billing Irregularity"/>
        <s v="Surgical Equipment Negligence"/>
        <s v="Service Delay - EUS Procedure"/>
        <s v="Operational Issue"/>
        <s v="Service Delay - FS Assessment"/>
        <s v="Service Delay - CT Scan"/>
        <s v="Service Delay - Check up"/>
        <s v="Service Delay - Antibiotic Administration"/>
        <s v="Service Delay - IR Assessment"/>
        <s v="Communication"/>
        <s v="Staff Negligence"/>
        <s v="Delay in Care - Room Cleaning"/>
        <s v="Delay in Care - Appointment"/>
        <s v="Delay in Care - Stent Placement"/>
        <s v="Emergency Code Failure"/>
      </sharedItems>
    </cacheField>
    <cacheField name="Severity" uniqueList="1" sqlType="0" hierarchy="0" level="0" databaseField="1">
      <sharedItems count="4" containsBlank="0" containsString="1">
        <s v="Moderate"/>
        <s v="Minor"/>
        <s v="Major"/>
        <s v="Serious"/>
      </sharedItems>
    </cacheField>
    <cacheField name="Harm" uniqueList="1" sqlType="0" hierarchy="0" level="0" databaseField="1">
      <sharedItems count="2" containsBlank="0" containsString="1">
        <s v="Yes"/>
        <s v="No"/>
      </sharedItems>
    </cacheField>
    <cacheField name="Situation/ Background" uniqueList="1" sqlType="0" hierarchy="0" level="0" databaseField="1">
      <sharedItems count="0" containsBlank="0" containsString="1"/>
    </cacheField>
    <cacheField name="Tasks/ Problems / Gaps identified" uniqueList="1" sqlType="0" hierarchy="0" level="0" databaseField="1">
      <sharedItems count="0" containsBlank="1" containsString="1"/>
    </cacheField>
    <cacheField name="Action Plan" uniqueList="1" sqlType="0" hierarchy="0" level="0" databaseField="1">
      <sharedItems count="0" containsBlank="1" containsString="1"/>
    </cacheField>
    <cacheField name="Result/ Evidence of compliance" uniqueList="1" sqlType="0" hierarchy="0" level="0" databaseField="1">
      <sharedItems count="0" containsBlank="1" containsString="1"/>
    </cacheField>
    <cacheField name="Complaint Closed Y / N" uniqueList="1" sqlType="0" hierarchy="0" level="0" databaseField="1">
      <sharedItems count="0" containsBlank="1" containsString="1"/>
    </cacheField>
    <cacheField name="__Records__" uniqueList="1" sqlType="0" hierarchy="0" level="0" databaseField="1">
      <sharedItems count="0" containsBlank="0" containsInteger="1" containsNumber="1" containsString="0"/>
    </cacheField>
  </cacheFields>
</pivotCacheDefinition>
</file>

<file path=xl/pivotCache/pivotCacheRecords1.xml><?xml version="1.0" encoding="utf-8"?>
<pivotCacheRecords xmlns="http://schemas.openxmlformats.org/spreadsheetml/2006/main" count="69">
  <r>
    <n v="1"/>
    <n v="2026"/>
    <x v="0"/>
    <n v="46023"/>
    <s v="C-001-01-01-2026"/>
    <m/>
    <s v="Shagufta Begum"/>
    <n v="1116419"/>
    <s v="AIsha"/>
    <s v="0324-4202964"/>
    <s v="Lahore"/>
    <n v="46023"/>
    <n v="46023"/>
    <s v="05-Jan-26 4 pm"/>
    <s v="05-Jan-26"/>
    <s v="4 pm"/>
    <x v="8"/>
    <n v="46024"/>
    <s v="Omer Aleem Mr. Husnain"/>
    <s v="08-Jan-26"/>
    <x v="4"/>
    <x v="7"/>
    <x v="0"/>
    <x v="0"/>
    <s v="My mother was in critical condition and we have to revise the ct scan , she hardly came out from home in the frosting cool weather and we couldn't find a proper wheelchair for her , there were no pedals on it and with swollen legs she kept her legs lifted. During scan payment n process the staff were extremely rude and not willing to guide patients. Then they refused to give us ct scan cd . The most pathetic hospital I have ever visited. Still we don't know has dr. Watched the cd or not . Extreme mis managed and weak system is there. I will never recommend it to anyone. No one is here to help or guide accurately. Staff is Just coming on duty and spending time there in pkli"/>
    <s v="Administration: Due to lack of resources, the daily inspection process was delayed, resulting in some wheelchairs remaining uninspected, which caused patient suffering. Radiology: No Gap Identified. The patient was informed to contact reception staff for CD arrangements and to get the CD request entered in the system by concerned doctor."/>
    <s v="Administration: Correction: 1- All damaged and non-functional wheelchairs were immediately removed from the service. 2-All repairable wheelchairs sent to FMS for repairing. Corrective Action: 1-A strict wheelchair inspection process has been implemented to ensure that only fully functional wheelchairs are available for patient use. 2-Relevant staff have been instructed to check wheelchair condition before handing it over to patients. Preventive Action: 1-Regular monitoring and documentation of wheelchair condition will be carried out on daily basis. 2- Induction of Porters/Supervisor staff is being done. Radiology: Not Required"/>
    <s v="Aministration: Wheelchair inspection Sheet attached."/>
    <s v="Y"/>
    <n v="1"/>
  </r>
  <r>
    <n v="2"/>
    <n v="2026"/>
    <x v="0"/>
    <n v="46027"/>
    <s v="C-001-05-01-2026"/>
    <n v="46027"/>
    <s v="Ali Hassan"/>
    <n v="1088738"/>
    <s v="Irfan Ikram"/>
    <m/>
    <m/>
    <n v="46027"/>
    <n v="46028"/>
    <s v="9-Jan-25 2 pm"/>
    <s v="9-Jan-25"/>
    <s v="2 pm"/>
    <x v="2"/>
    <n v="46028"/>
    <s v="Ms. Tayyaba"/>
    <n v="46035"/>
    <x v="3"/>
    <x v="8"/>
    <x v="2"/>
    <x v="0"/>
    <s v="Date of Event: 03-01-2026, Location: IPD-8TH His serum electrolytes were awaited. We tried to follow report multiple times but got no report till 1500H. On probing got to know that his sample had been misplaced."/>
    <s v="Lack of tracking history in Sisoft - System does not retain tracking history when a material is rejected and a fresh sample is received."/>
    <s v="1-Reinforcement of IT issues are communicated to ICT department. 2-Fresh Sample log sheet is implemented to overcome the issue."/>
    <m/>
    <m/>
    <n v="1"/>
  </r>
  <r>
    <n v="3"/>
    <n v="2026"/>
    <x v="0"/>
    <n v="46027"/>
    <s v="C-002-05-01-2026"/>
    <n v="46028"/>
    <s v="Rubail Ali"/>
    <n v="981508"/>
    <s v="Dr. Saad Rehman"/>
    <s v="0334-5603597"/>
    <s v="PKLI"/>
    <n v="46027"/>
    <n v="46028"/>
    <s v="9-Jan-25 2 pm"/>
    <s v="9-Jan-25"/>
    <s v="2 pm"/>
    <x v="2"/>
    <n v="46028"/>
    <s v="Ms. Tayyaba"/>
    <n v="46035"/>
    <x v="3"/>
    <x v="9"/>
    <x v="2"/>
    <x v="0"/>
    <s v="Date of Event: 31-12-25, Location-IPD-8TH, Time: 11:18 Hours Patient received to IPD, fresh sample withdrawn and sent to the lab, the result shows that the total bilirubin 14.23, while patient was shifted to OT, during intra op, again sample sent to the labs which was 0.63."/>
    <s v="Delta check (comparing current results with previous ones to detect any unusual or unexpected variations), process was missed at post analyticak ( Report verification) step.&quot;"/>
    <s v="Clinical pathology staff training on delta check with a refresher in every quarter."/>
    <m/>
    <m/>
    <n v="1"/>
  </r>
  <r>
    <n v="4"/>
    <n v="2026"/>
    <x v="0"/>
    <n v="46027"/>
    <s v="C-003-05-01-2026"/>
    <m/>
    <m/>
    <m/>
    <m/>
    <m/>
    <m/>
    <n v="46027"/>
    <n v="46028"/>
    <s v="9-Jan-25 2 pm"/>
    <s v="9-Jan-25"/>
    <s v="2 pm"/>
    <x v="0"/>
    <s v="7-Jan-2026 30-Jan-26"/>
    <s v="Ms. Tahira"/>
    <n v="46050"/>
    <x v="3"/>
    <x v="10"/>
    <x v="0"/>
    <x v="1"/>
    <s v="This patient came for Robotic pyeloplasty yesterday (date 31/12/2025) came in preop for procedure along with CT scan 3 films received by preop staff Shakeel Ahmed 4873 on preoperative check list. But due to Anesthesia machine issue patient postponed. patient shifted by preop staff Shakeel Ahmed UID 4873 back to floor along with 3 films of CT scan and handed over to IPD-5th staff Syed Nouman shah UID 4884 and take receiving on patient room transfer LOG. again, this patient come in preop (date 01/01/2026) received by preop staff Shakeel Ahmed UID 4873 but without CT Scan film. Dr Assad ur Rehman asked for CT scan, we called again and again IPD 5th for CT Scan films. Floor staff did not provide throughout procedure. Informed the floor manager she replied that it is missing from floor IPD 5th."/>
    <s v="Handing and taking over was not complete; signed on taking over however did not check all the belongings."/>
    <s v="IPD TL Mr. Kamran Immediately got CT film from the scan department record and provided to OT team for smooth functioning RN Noman Shah and other nurses are educated regarding the hospital policy of handing and taking over."/>
    <m/>
    <m/>
    <n v="1"/>
  </r>
  <r>
    <n v="5"/>
    <n v="2026"/>
    <x v="0"/>
    <n v="46027"/>
    <s v="C-004-05-01-2026"/>
    <n v="46028"/>
    <m/>
    <m/>
    <m/>
    <m/>
    <m/>
    <n v="46027"/>
    <n v="46028"/>
    <s v="9-Jan-25 2 pm"/>
    <s v="9-Jan-25"/>
    <s v="2 pm"/>
    <x v="6"/>
    <n v="46026"/>
    <s v="Dr. Sheri"/>
    <n v="46048"/>
    <x v="0"/>
    <x v="11"/>
    <x v="3"/>
    <x v="0"/>
    <s v="Patient along with family visited AMU last night 4/1/26 around 8:30 pm and sent home (triage done) and advised to follow up in ID OPD. Patient was in respiratory distress and sick and needed urgent care and workup. Not an OPD candidate."/>
    <s v="A review of the case and evaluation of the evidence indicate that despite the fact that the renal team is not keen on admitting the patients getting dialysis at other facilities, this patient should have been admitted to PKLI at the time of his initial presentation."/>
    <s v="We appreciate that this could have resulted in a worse outcome ,hence we have counselled and re-educated the AMU team to take preemptive action in this common clinical scenerio to avoid such events in the future."/>
    <m/>
    <m/>
    <n v="1"/>
  </r>
  <r>
    <n v="6"/>
    <n v="2026"/>
    <x v="0"/>
    <n v="46029"/>
    <s v="C-001-07-01-2026"/>
    <n v="46029"/>
    <m/>
    <m/>
    <m/>
    <m/>
    <m/>
    <n v="46029"/>
    <n v="46029"/>
    <s v="9-Jan-25 4 pm"/>
    <s v="9-Jan-25"/>
    <s v="4 pm"/>
    <x v="9"/>
    <n v="46030"/>
    <s v="Ms. Tahira"/>
    <m/>
    <x v="0"/>
    <x v="12"/>
    <x v="1"/>
    <x v="1"/>
    <s v="ROBOTIC ARM (INSTRUMENT BED SIDE UNIT S.NO 0000020492 (CMR) EDGE WAS DEMAGE. INFORMED BY BABER ALI KHAN (U.ID 754) ON MORNING SHIFT 30-12.2025."/>
    <m/>
    <m/>
    <m/>
    <m/>
    <n v="1"/>
  </r>
  <r>
    <n v="7"/>
    <n v="2026"/>
    <x v="0"/>
    <n v="46029"/>
    <s v="C-002-07-01-2026"/>
    <n v="46029"/>
    <m/>
    <m/>
    <m/>
    <m/>
    <m/>
    <n v="46029"/>
    <n v="46029"/>
    <s v="9-Jan-25 4 pm"/>
    <s v="9-Jan-25"/>
    <s v="4 pm"/>
    <x v="7"/>
    <n v="46030"/>
    <s v="Mr. Amir"/>
    <s v="30-Jan-26 27-Mar-26"/>
    <x v="0"/>
    <x v="5"/>
    <x v="0"/>
    <x v="1"/>
    <s v="Procedure: Bladder Augmentation proceeded on date :02-1-2025 SURGEON: DR SARMAD IMTIAZ Patient's gender was incorrectly documented on the addressograph; it was written as male, whereas the patient is female."/>
    <s v="Typing Error"/>
    <s v="1-Inclusion of demographic validation steps in Patient FLow Management Policy. 2-Addition of a disclaimer on patient information sheet is added. 3-Registration staff is trained to clearly communicate the pupose of signing the document."/>
    <m/>
    <m/>
    <n v="1"/>
  </r>
  <r>
    <n v="8"/>
    <n v="2026"/>
    <x v="0"/>
    <n v="46029"/>
    <s v="C-003-07-01-2026"/>
    <n v="46029"/>
    <m/>
    <m/>
    <m/>
    <m/>
    <m/>
    <n v="46029"/>
    <n v="46029"/>
    <s v="9-Jan-25 4 pm"/>
    <s v="9-Jan-25"/>
    <s v="4 pm"/>
    <x v="10"/>
    <n v="46030"/>
    <s v="Mr Umer Farooq"/>
    <n v="46042"/>
    <x v="0"/>
    <x v="13"/>
    <x v="2"/>
    <x v="1"/>
    <s v="procedure: Right Robotic Pyeloplasty Surgeon: Dr Nauman Zafer Date:6-1-2026 We use disposable gauze but today before starting anaesthesia we open pro-med disposable absorbent gauze swab when we look a bug inside of gauze pack."/>
    <m/>
    <s v="Conducted a formal meeting with the vendor representative to investigate the presence of biological contaminant. The vendor has provided a formal assurance that strict preventive measures are now in place to prevent recurrence."/>
    <m/>
    <m/>
    <n v="1"/>
  </r>
  <r>
    <n v="9"/>
    <n v="2026"/>
    <x v="0"/>
    <n v="46029"/>
    <s v="C-004-07-01-2026"/>
    <m/>
    <m/>
    <m/>
    <m/>
    <m/>
    <m/>
    <n v="46029"/>
    <n v="46029"/>
    <s v="9-Jan-25 4 pm"/>
    <s v="9-Jan-25"/>
    <s v="4 pm"/>
    <x v="3"/>
    <n v="46030"/>
    <s v="Mr. Amir"/>
    <n v="46052"/>
    <x v="0"/>
    <x v="6"/>
    <x v="0"/>
    <x v="0"/>
    <s v="Sir, our meeting is scheduled with reputed doc Asad Bashir. He is going to review all the records of patient and donor. We were asked by our well-mannered and responsible coordinator that she has entered echo of donor but the guy at OPD 5 is behaving rudely besides saying that he would give 27 of January for same test. What we do for 27th of Jan, if our meeting is scheduled with Sir Asad Bashir tomorrow. Sir, there are lot of patients. It's hard to get appointments with doctors. If we request doctors, sir we need appointment then they allow but when they enter the required tests, guys at OPD’s refuse to do so. If we request, then they start misbehaving."/>
    <s v="No Gap Identified as patient asked for Echo on same day without appointment and was asked to wait so if any patient missed he will be accomodated. He was eventually accomodated on the same day."/>
    <s v="After discussing with the kidney transplant coordinator, patient was accomodated for echo test on saturday."/>
    <m/>
    <s v="Y"/>
    <n v="1"/>
  </r>
  <r>
    <n v="10"/>
    <n v="2026"/>
    <x v="0"/>
    <n v="46029"/>
    <s v="C-005-07-01-2026"/>
    <m/>
    <m/>
    <m/>
    <m/>
    <m/>
    <m/>
    <n v="46029"/>
    <n v="46029"/>
    <s v="9-Jan-25 4 pm"/>
    <s v="9-Jan-25"/>
    <s v="4 pm"/>
    <x v="7"/>
    <n v="46030"/>
    <s v="Mr. Amir"/>
    <s v="30-Jan-26 27-Mar-26"/>
    <x v="0"/>
    <x v="5"/>
    <x v="0"/>
    <x v="1"/>
    <s v="On duty RN Ms. Shanza identified the error that a female patient named Jaweria is under her care. The patient gender is mentioned as &quot;Male&quot; in HMIS. She immediately informed TL and FDO. A complaint generated by FDO and patient data entered accurately in system. Error is being reported for documentation as per organizational policy."/>
    <s v="Typing Error"/>
    <s v="1-Inclusion of demographic validation steps in Patient FLow Management Policy. 2-Addition of a disclaimer on patient information sheet is added. 3-Registration staff is trained to clearly communicate the pupose of signing the document."/>
    <m/>
    <m/>
    <n v="1"/>
  </r>
  <r>
    <n v="11"/>
    <n v="2026"/>
    <x v="0"/>
    <n v="46029"/>
    <s v="C-006-07-01-2026"/>
    <n v="46029"/>
    <m/>
    <m/>
    <m/>
    <m/>
    <m/>
    <n v="46029"/>
    <n v="46029"/>
    <s v="9-Jan-25 4 pm"/>
    <s v="9-Jan-25"/>
    <s v="4 pm"/>
    <x v="0"/>
    <n v="46030"/>
    <s v="Ms. Tahira"/>
    <n v="46050"/>
    <x v="0"/>
    <x v="2"/>
    <x v="0"/>
    <x v="0"/>
    <s v="Date of Event: 06-01-2026, Location: Operation Room Procedure RT RIRS preop call time 11:25, received in preop 12:58, delay in shifting from floor."/>
    <m/>
    <m/>
    <m/>
    <m/>
    <n v="1"/>
  </r>
  <r>
    <n v="12"/>
    <n v="2026"/>
    <x v="0"/>
    <n v="46029"/>
    <s v="C-007-07-01-2026"/>
    <n v="46029"/>
    <m/>
    <m/>
    <m/>
    <m/>
    <m/>
    <n v="46029"/>
    <n v="46029"/>
    <s v="9-Jan-25 4 pm"/>
    <s v="9-Jan-25"/>
    <s v="4 pm"/>
    <x v="0"/>
    <n v="46030"/>
    <s v="Ms. Tahira"/>
    <s v="28-Jan-2026 30-Jan-2026"/>
    <x v="0"/>
    <x v="2"/>
    <x v="0"/>
    <x v="0"/>
    <s v="Date of Event: 06-01-2026, Location: Operation Room PROCEDURE RT PCNL PREOP CALL TIME 13:40 PATIENT RECEIVED IN PREOP 15:30, DELAY IN SHIFTING FROM FLOOR."/>
    <m/>
    <m/>
    <m/>
    <m/>
    <n v="1"/>
  </r>
  <r>
    <n v="13"/>
    <n v="2026"/>
    <x v="0"/>
    <n v="46029"/>
    <s v="C-008-07-01-2026"/>
    <n v="46029"/>
    <m/>
    <m/>
    <m/>
    <m/>
    <m/>
    <n v="46029"/>
    <n v="46029"/>
    <s v="9-Jan-25 4 pm"/>
    <s v="9-Jan-25"/>
    <s v="4 pm"/>
    <x v="0"/>
    <n v="46030"/>
    <s v="Ms. Tahira"/>
    <s v="28-Jan-2026 30-Jan-2026"/>
    <x v="0"/>
    <x v="2"/>
    <x v="0"/>
    <x v="0"/>
    <s v="Date of Event: 06-01-2026, Location: Operation Room PROCEDURE RT URS PREOP CALL TIME 13:40 PATIENT RECEIVED IN PREOP AT 14:35, DELAY IN SHIFTING FROM FLOOR."/>
    <m/>
    <m/>
    <m/>
    <m/>
    <n v="1"/>
  </r>
  <r>
    <n v="14"/>
    <n v="2026"/>
    <x v="0"/>
    <n v="46029"/>
    <s v="C-009-07-01-2026"/>
    <n v="46029"/>
    <m/>
    <m/>
    <m/>
    <m/>
    <m/>
    <n v="46029"/>
    <n v="46029"/>
    <s v="9-Jan-25 4 pm"/>
    <s v="9-Jan-25"/>
    <s v="4 pm"/>
    <x v="0"/>
    <n v="46030"/>
    <s v="Ms. Tahira"/>
    <s v="28-Jan-2026 30-Jan-2026"/>
    <x v="0"/>
    <x v="2"/>
    <x v="0"/>
    <x v="0"/>
    <s v="Date of Event: 06-01-2026, Location: Operation Room PROCEUDURE LT PCNL PREOP CALL TIME 13:40 PATIENT RECEIVED IN PREOP AT 15:13, DELAY IN SHIFTING FROM FLOOR."/>
    <m/>
    <m/>
    <m/>
    <m/>
    <n v="1"/>
  </r>
  <r>
    <n v="15"/>
    <n v="2026"/>
    <x v="0"/>
    <n v="46030"/>
    <s v="C-001-08-01-2026"/>
    <n v="46031"/>
    <m/>
    <m/>
    <m/>
    <m/>
    <m/>
    <n v="46030"/>
    <n v="46031"/>
    <s v="12-Jan-26 4 pm"/>
    <s v="12-Jan-26"/>
    <s v="4 pm"/>
    <x v="1"/>
    <n v="46031"/>
    <s v="Nigran"/>
    <n v="46037"/>
    <x v="0"/>
    <x v="14"/>
    <x v="1"/>
    <x v="0"/>
    <s v="FS department granted a patient 0% financial assessment after he provided complete, correct and truthful details upon which he complained and FS staff called him and told him that a field investigation will be done for which he refused and requested FS assistence on documents basis upon which Mr. ALi agreed but later they denied and laughed at, mocked and harrassed him."/>
    <s v="No gap identified - Upon presenting his documents to FS committee , assessment was rejected. Moreover the investigation and telephonic conversation with the patient found no staff misconduct or humiliation."/>
    <s v="As the patient was insisting , documents were again sent to committee and a 20% discount was approved. The procedure of the patient is completed successfully."/>
    <m/>
    <s v="Y"/>
    <n v="1"/>
  </r>
  <r>
    <n v="16"/>
    <n v="2026"/>
    <x v="0"/>
    <n v="46030"/>
    <s v="C-002-08-01-2026"/>
    <n v="46030"/>
    <m/>
    <m/>
    <m/>
    <m/>
    <m/>
    <n v="46030"/>
    <n v="46031"/>
    <s v="12-Jan-26 4 pm"/>
    <s v="12-Jan-26"/>
    <s v="4 pm"/>
    <x v="11"/>
    <n v="46031"/>
    <s v="Arish"/>
    <n v="46035"/>
    <x v="0"/>
    <x v="15"/>
    <x v="2"/>
    <x v="1"/>
    <s v="Slip on staircase - Manager FNSD fell due to slippery stairs adjacent to rehabiliation center."/>
    <s v="FMS: No Gap is identified as both sides of stairs has safety rails and anti slip edge strips are installed so No Gap is identified. Admin: No gap identified as no cleaning activity was being carried out there."/>
    <s v="FMS: Not Required Admin : Not required"/>
    <m/>
    <s v="Y"/>
    <n v="1"/>
  </r>
  <r>
    <n v="17"/>
    <n v="2026"/>
    <x v="0"/>
    <n v="46030"/>
    <s v="C-003-08-01-2026"/>
    <m/>
    <m/>
    <m/>
    <m/>
    <m/>
    <m/>
    <n v="46030"/>
    <n v="46031"/>
    <s v="12-Jan-26 4 pm"/>
    <s v="12-Jan-26"/>
    <s v="4 pm"/>
    <x v="12"/>
    <n v="46031"/>
    <s v="Ms. Tayyaba"/>
    <n v="46041"/>
    <x v="0"/>
    <x v="3"/>
    <x v="1"/>
    <x v="1"/>
    <s v="Event Date: 05-01-2026 Timing: 6:45Pm This complaint is from a transplant patient about behavior of the Phlebotomy staff when she came for blood sampling.."/>
    <s v="No Gap identified at the patient insisted on taking her sample first as she was an employe but the phlebotomy staff didn't let her by pass the queue."/>
    <s v="Not required."/>
    <m/>
    <m/>
    <n v="1"/>
  </r>
  <r>
    <n v="18"/>
    <n v="2026"/>
    <x v="0"/>
    <n v="46034"/>
    <s v="C-001-12-01-2026"/>
    <n v="46034"/>
    <m/>
    <m/>
    <m/>
    <m/>
    <m/>
    <n v="46034"/>
    <n v="46034"/>
    <s v="15-Jan-26 4 pm"/>
    <s v="15-Jan-26"/>
    <s v="4 pm"/>
    <x v="13"/>
    <n v="46034"/>
    <s v="Dr. Ammar"/>
    <n v="46049"/>
    <x v="0"/>
    <x v="6"/>
    <x v="0"/>
    <x v="0"/>
    <s v="KTX coordinator's unethical language - Father name of the siblings on FRC form had a discrepency on which KTX coordinator said that this is indicating two different fathers."/>
    <s v="No Gap Identified - As the formal departmental inquiry findings didn't reveal any evidence of misconduct."/>
    <s v="Not Required - However a counselling on maintaing professional communication and conduct with patients was done as a measure of continuous quality improvement."/>
    <m/>
    <s v="Y"/>
    <n v="1"/>
  </r>
  <r>
    <n v="19"/>
    <n v="2026"/>
    <x v="0"/>
    <n v="46037"/>
    <s v="C-0002-15-01-2026"/>
    <n v="46037"/>
    <m/>
    <m/>
    <m/>
    <m/>
    <m/>
    <n v="46037"/>
    <n v="46037"/>
    <s v="20-Jan-26 4 pm"/>
    <s v="20-Jan-26"/>
    <s v="4 pm"/>
    <x v="0"/>
    <n v="46038"/>
    <s v="Ms. Tahira"/>
    <m/>
    <x v="0"/>
    <x v="16"/>
    <x v="1"/>
    <x v="1"/>
    <s v="Mr. Abdul Rehman received the kidney Recipient set 01 at 15:50 on date 30 December 2025 from the x-shift staff Mr. Muhammad Shahbaz U.ID 4041 and received the checklist in Decontamination Area that the set was complete. Personal decontamination responsibility that checked and counted the set of equipment according to the checklist. But he did not count the instrument set. After the washer disinfection cycle was completed, Mr. Ahsan Afzal U.ID 3364 reassembled the KTX Recipient set then informed Mr. Bilal Bahadar U.ID 4322 that the Towel clip “BF 432R ‘was missing from the set. As per our policy and protocol, Mr. Abdul Rehman was responsible for misplacing the Towel clip “BF 432R."/>
    <m/>
    <m/>
    <m/>
    <m/>
    <n v="1"/>
  </r>
  <r>
    <n v="20"/>
    <n v="2026"/>
    <x v="0"/>
    <n v="46037"/>
    <s v="C-003-15-01-2026"/>
    <n v="46037"/>
    <m/>
    <m/>
    <m/>
    <m/>
    <m/>
    <n v="46037"/>
    <n v="46037"/>
    <s v="22-Jan-26 2 pm"/>
    <s v="22-Jan-26"/>
    <s v="2 pm"/>
    <x v="5"/>
    <s v="15-Jan-26 16-Feb-26"/>
    <s v="Mr. Husnain"/>
    <n v="46057"/>
    <x v="0"/>
    <x v="17"/>
    <x v="2"/>
    <x v="0"/>
    <s v="Dr. Usman gave today’s 14-01-26 time for Patient Sobia biopsy, and we were asked to come by 8: am. We got admitted at due time and then waited whole day. Dr. Usman came in evening around 5pm, and said, “I will not perform the Biopsy now, Dr. Ramzan will check your patient and perform Biopsy on another day. My Sister is widow; she has come from Faisalabad since yesterday for Biopsy. It is difficult for her to travel repeatedly."/>
    <m/>
    <m/>
    <m/>
    <m/>
    <n v="1"/>
  </r>
  <r>
    <n v="21"/>
    <n v="2026"/>
    <x v="0"/>
    <n v="46037"/>
    <s v="C-004-15-01-2026"/>
    <m/>
    <m/>
    <m/>
    <m/>
    <m/>
    <m/>
    <n v="46037"/>
    <n v="46037"/>
    <s v="20-Jan-26 4 pm"/>
    <s v="20-Jan-26"/>
    <s v="4 pm"/>
    <x v="14"/>
    <n v="46038"/>
    <s v="Ms. Nasira"/>
    <n v="46049"/>
    <x v="0"/>
    <x v="4"/>
    <x v="0"/>
    <x v="0"/>
    <s v="I am writing to formally complain about the extremely unprofessional and incompetent conduct of Dr. Furqana Akhtar, Infectious Diseases Specialist, during my visit to PKLI Hospital today. Despite being informed that the doctor would start seeing patients at 9:45 AM, we were kept waiting until approximately 12:15 PM without any proper explanation. This delay is unacceptable and reflects complete disregard for patients’ time. Even after her arrival, there was no clear handling of patients, nor any accountability from the staff. We paid almost PKR 4,000 for this consultation, which does not justify such poor service, lack of coordination, and absence of basic professionalism. The staff failed to address concerns and kept redirecting us instead of resolving the issue. This experience clearly indicates poor time management and incompetence at both the doctor and departmental level. I expect PKLI Hospital to take this matter seriously and provide a formal response along with corrective action"/>
    <s v="1. Communication Gap - Service delay form not initiated. 2. Alternative consultant not available."/>
    <s v="1. Good communication (Initiation of service delay forms. 2. Alternative consulation availability in case of delay."/>
    <m/>
    <s v="Y"/>
    <n v="1"/>
  </r>
  <r>
    <n v="22"/>
    <n v="2026"/>
    <x v="0"/>
    <n v="46038"/>
    <s v="C-001-16-01-2026"/>
    <m/>
    <m/>
    <m/>
    <m/>
    <m/>
    <m/>
    <n v="46038"/>
    <n v="46023"/>
    <s v="20-Jan-26 4 pm"/>
    <s v="20-Jan-26"/>
    <s v="4 pm"/>
    <x v="2"/>
    <n v="46041"/>
    <s v="Ms. Tayyaba"/>
    <n v="46041"/>
    <x v="0"/>
    <x v="18"/>
    <x v="2"/>
    <x v="0"/>
    <s v="Patient Ali Asghar was admitted to IPD 6 (Room.#.604). His COVID-19 sample was collected on 13-01-2026 1458 hours, with the expectation that the report would be issued within the standard stipulated time. However, the laboratory reported the result on 15-01-2026, 0831 hours on the day of the planned procedure. There was no intimation from the lab regarding delay to the relevant department, which is an unacceptable delay considering the urgency involved. Due to the non-availability of the COVID-19 test report on time, the planned liver transplant surgery could have been deferred, causing significant inconvenience. I request you to kindly look into this matter seriously and take necessary corrective action to ensure that such lapses do not recur in the future."/>
    <s v="Sample was placed in the refrigerator without takng receiving from the molecular pathology section."/>
    <s v="Refresher training has been given for dipatching all samples through the dispatch sheet, to SMD staff."/>
    <m/>
    <m/>
    <n v="1"/>
  </r>
  <r>
    <n v="23"/>
    <n v="2026"/>
    <x v="0"/>
    <n v="46041"/>
    <s v="C-001-19-01-2026"/>
    <m/>
    <m/>
    <m/>
    <m/>
    <m/>
    <m/>
    <n v="46041"/>
    <n v="46041"/>
    <s v="21-Jan-26 4 pm"/>
    <s v="21-Jan-26"/>
    <s v="4 pm"/>
    <x v="15"/>
    <n v="46042"/>
    <s v="Amjad Rashid"/>
    <m/>
    <x v="0"/>
    <x v="19"/>
    <x v="2"/>
    <x v="0"/>
    <s v="PET Scan refused - Despite being eligible for Health Card assistance, the patient was repeatedly denied a recommended PET CT scan . Once they said machine is out of order and again they said that you are not eligible for it."/>
    <m/>
    <m/>
    <m/>
    <m/>
    <n v="1"/>
  </r>
  <r>
    <n v="24"/>
    <n v="2026"/>
    <x v="0"/>
    <n v="46041"/>
    <s v="C-002-19-01-2026"/>
    <n v="46041"/>
    <m/>
    <m/>
    <m/>
    <m/>
    <m/>
    <n v="46043"/>
    <n v="46041"/>
    <s v="21-Jan-26 4 pm"/>
    <s v="21-Jan-26"/>
    <s v="4 pm"/>
    <x v="16"/>
    <n v="46043"/>
    <s v="Mr. Bilal Ms. Tahira"/>
    <s v="18-Jan-26"/>
    <x v="0"/>
    <x v="20"/>
    <x v="0"/>
    <x v="0"/>
    <s v="This patient came from IPD#5 with Airborne Contact isolation for open benign Nephrectomy. surgery smoothly and safely done. As per PKLI policy, started recovery inside OR #9 from 1300Hours. Normal recovery time is 30 minutes if the patient is OK, we can move to the floor. This patient was waiting for SICU bed. SICU ASL reply that they will provide bed at 1600 hours. This is long recovery without any reason and patient stay in OR with contact isolation."/>
    <m/>
    <m/>
    <m/>
    <m/>
    <n v="1"/>
  </r>
  <r>
    <n v="25"/>
    <n v="2026"/>
    <x v="0"/>
    <n v="46041"/>
    <s v="C-003-19-01-2026"/>
    <m/>
    <m/>
    <m/>
    <m/>
    <m/>
    <m/>
    <n v="46041"/>
    <n v="46042"/>
    <s v="22-Jan-26 2 pm"/>
    <s v="22-Jan-26"/>
    <s v="2 pm"/>
    <x v="17"/>
    <n v="46042"/>
    <s v="Zameer-ul-Hassan"/>
    <n v="46041"/>
    <x v="0"/>
    <x v="21"/>
    <x v="0"/>
    <x v="0"/>
    <s v="FS delayed for 8 months - FS departments said that they will send the team for investigation but they havn't sent it for 8 months. Patient's father condition is not good and urgent surgery is needed."/>
    <s v="No gap identified - The patient was fully supported for primary assessment as partially supported for secindary assessment. However as he wants 100% FS , he never visited FS department for this concern."/>
    <s v="The patient was called and asked to visit FS department alogwith the treatment plan."/>
    <m/>
    <s v="Y"/>
    <n v="1"/>
  </r>
  <r>
    <n v="26"/>
    <n v="2026"/>
    <x v="0"/>
    <n v="46043"/>
    <s v="C-001-21-01-2026"/>
    <n v="46049"/>
    <m/>
    <m/>
    <m/>
    <m/>
    <m/>
    <n v="46043"/>
    <n v="46043"/>
    <s v="24-Jan-26 2 pm"/>
    <s v="24-Jan-26"/>
    <s v="2 pm"/>
    <x v="0"/>
    <n v="46044"/>
    <s v="Ms. Tahira"/>
    <s v="Received"/>
    <x v="0"/>
    <x v="22"/>
    <x v="1"/>
    <x v="1"/>
    <s v="The patient is a regularly scheduled dialysis patient. But on 20th January when we arrived at the dialysis Unit 2 before 6pm. But the staff gave away the bed to another patient. And then treated the patient disrespectfully. Very inconvenient, annoying and disappointing."/>
    <s v="No gap was identified as the patient arrived late from the scheduled time while his equipment was ready which was then used for an urgent case. When the patient arrived ( after half an hour) he was promptly accomodated on the next available machine."/>
    <s v="Not Required."/>
    <m/>
    <s v="Y"/>
    <n v="1"/>
  </r>
  <r>
    <n v="27"/>
    <n v="2026"/>
    <x v="0"/>
    <n v="46045"/>
    <s v="C-001-23-01-2026"/>
    <n v="46049"/>
    <s v="Tanveer Hussain"/>
    <n v="661884"/>
    <s v="Tanveer Hussain"/>
    <s v="0300-4211643"/>
    <s v="Lahore"/>
    <n v="46045"/>
    <n v="46045"/>
    <s v="27-Jan-26 4 pm"/>
    <s v="27-Jan-26"/>
    <s v="4 pm"/>
    <x v="5"/>
    <n v="46048"/>
    <s v="Abdul Qudoos"/>
    <n v="46139"/>
    <x v="3"/>
    <x v="23"/>
    <x v="0"/>
    <x v="0"/>
    <s v="باعرضِ گزارش ہے کہ سائل ڈائیلاسز کا مریض ہے۔ مورخہ 8 جنوری 2026 کو سائل کا فسٹیولوپلاسٹی پرو سیجر ڈاکٹر رمضان صاحب نے انجام دیا۔ مذکورہ پروسیجر کے بعد ڈاکٹر صاحب نے ہدایت فرمائی تھی کہ ایک ہفتے بعد او پی ڈی میں فالو اَپ کے لیے دوبارہ چیک کروایا جائے تاکہ کسی بھی ممکنہ مسئلے کا بروقت جائزہ لیا جا سکے۔ ‎ڈاکٹر صاحب کی ہدایات کے مطابق سائل نے بذریعہ ٹیلی فون (Interventional Radiology) ڈیپارٹمنٹ میں اپائنٹمنٹ حاصل کی، جس کی تصدیقی کال بھی سائل کو ایک دن قبل موصول ہوئی تھی، مزید یہ کہ اس کال کی ریکارڈنگ بھی سائل کے پاس موجود ہے۔ ‎تاہم آج جب سائل مقررہ تاریخ پر پہنچا تو وہاں یہ کہا گیا کہ سائل کا نام اپائنٹمنٹ لسٹ میں موجود نہیں ہے۔ میں۔IR department OPD اس غفلت اور بدانتظامی کی وجہ سے سائل کو شدید ذہنی کوفت کا سامنا کرنا پڑا، جبکہ سائل کو 3000 روپے کرایہ خرچ کر کے بلاوجہ آنا پڑا، جو کہ نہایت افسوسناک ہے۔ ‎لہٰذا مؤدبانہ گزارش ہے کہ اس معاملے کا نوٹس لیا جائے، ذمہ داران کے خلاف کارروائی کی جائے اور آئندہ اس قسم کی کوتاہی سے بچنے کے لیے مناسب اقدامات کیے جائیں۔"/>
    <m/>
    <m/>
    <m/>
    <m/>
    <n v="1"/>
  </r>
  <r>
    <n v="28"/>
    <n v="2026"/>
    <x v="0"/>
    <n v="46045"/>
    <s v="C-002-23-01-2026"/>
    <n v="46049"/>
    <m/>
    <m/>
    <m/>
    <m/>
    <m/>
    <n v="46045"/>
    <n v="46045"/>
    <s v="27-Jan-26 4 pm"/>
    <s v="27-Jan-26"/>
    <s v="4 pm"/>
    <x v="6"/>
    <n v="46048"/>
    <s v="Dr. Sheri"/>
    <m/>
    <x v="0"/>
    <x v="24"/>
    <x v="3"/>
    <x v="0"/>
    <s v="Patient came in AMU at 2000H with shortness of breath, and tachycardia. oxygen saturation was 52% @ full flow nonrebreather mask. but all the beds in AMU were occupied including RESUSCITATION AREA. according to triage policy of AMU, RESUSCITATION area is dedicated to those patient with P1 priority and no waiting time, one patient in RESUSCITATION came with low blood pressure and other patient came with hyperkalaemia. these two patients can be managed outside RESUSCITATION area in main AMU and the patient M. IMRAN was potential candidate for RESUSCITATION area bed. but due to poor bed management of doctors, there was no bed available for M. IMRAN. On duty REG. Dr AQSA called Dr Zainab Atiq (Consultant AMU) and told her about the situation. but she (Dr Zainab) told to ask the on-duty TL for extra bed. When I refused and reminded Dr Zainab that madam this is against hospital policy to do Extension or extra beds also MEDICAL DIRECTOR DR. MOBEEN orders not to allow extra or extension beds, she (DR ZAINAB ATIQ) threatened me to complain against me, but I was only following the policy and orders of Medical Director DR. Mobeen. RESUSCITATION Area is the most critical area of AMU and dedicated to those patients which are critically ill, but AMU doctors do poor management and enter those patient in RESUSCITATION Area which are not candidate for RESUSCITATION and can be managed in main AMU ward. also, patients are retained in AMU for more than 24 hours whereas policy says decision should be made within 24 hours, but they are retained up to 2 to 3 days. also, there is no specified area for Paediatric patient, All the AMU staff face very difficult situations on daily basis due to this poor management and lack of decision making. I would also mention that patients are asked to wait in the waiting area till the availability of bed due to which they suffer a lot. most of the times they have to wait up to 24 hours or more depending upon the bed situation inside AMU. Whereas policy says if no bed available then patient should be referred to nearest tertiary care facility.... I KINDLY REQUEST TO HIGHER MANAGEMENT TO PLEASE ADDRESS THESE ISSUES TO MAINTAIN QUALITY OF PATIENT CARE AS PER HOSPITAL AND JCI POLICIES."/>
    <m/>
    <m/>
    <m/>
    <m/>
    <n v="1"/>
  </r>
  <r>
    <n v="29"/>
    <n v="2026"/>
    <x v="0"/>
    <n v="46048"/>
    <s v="C-001-26-01-2026"/>
    <n v="46049"/>
    <m/>
    <m/>
    <m/>
    <m/>
    <m/>
    <n v="46048"/>
    <n v="46048"/>
    <s v="28-Jan-26 4 pm"/>
    <s v="28-Jan-26"/>
    <s v="4 pm"/>
    <x v="18"/>
    <n v="46049"/>
    <s v="Mr. Haris"/>
    <m/>
    <x v="0"/>
    <x v="25"/>
    <x v="0"/>
    <x v="0"/>
    <s v="Surgery delayed - Patient underwent the labs and anaesthesia fitness twice but unable to get the surgery date as both the times her appoinment got cancelled. Moreover the staff Asma beahved very rudely during her visit."/>
    <m/>
    <m/>
    <m/>
    <m/>
    <n v="1"/>
  </r>
  <r>
    <n v="30"/>
    <n v="2026"/>
    <x v="0"/>
    <n v="46050"/>
    <s v="C-001-28-01-2026"/>
    <n v="46052"/>
    <m/>
    <m/>
    <m/>
    <m/>
    <m/>
    <n v="46050"/>
    <n v="46051"/>
    <s v="4-Feb-26 4 pm"/>
    <s v="4-Feb-26"/>
    <s v="4 pm"/>
    <x v="0"/>
    <n v="46052"/>
    <s v="Ms. Tahira"/>
    <m/>
    <x v="0"/>
    <x v="26"/>
    <x v="1"/>
    <x v="1"/>
    <s v="Mr. Abdul Rehman received the LTx Micro set 01 on date 19 January 2026 from the x-shift staff Mr. Ahsan Afzal U.ID 3364 and received the set according to the checklist in Decontamination Area that the set was complete. Personal decontamination responsibility that checked and counted the set of equipment according to the checklist and run the washer disinfector cycle. After the washer disinfector cycle was completed, the instrument received from washer disinfector in packing area, in packing area Mr. Muhammad Feroz U.ID 1346 reassembled the LTX Micro set 01 then informed Mr. Abdul Rehman and Team Leader Mr. Muhammad Shahbaz U.ID 000791 that the Probe Dilator “MB 248 ‘was missing from the set"/>
    <m/>
    <m/>
    <m/>
    <m/>
    <n v="1"/>
  </r>
  <r>
    <n v="31"/>
    <n v="2026"/>
    <x v="0"/>
    <n v="46050"/>
    <s v="C-002-28-01-2026"/>
    <n v="46052"/>
    <s v="Mulazim Hussain"/>
    <n v="1127775"/>
    <s v="Abdulquyum"/>
    <s v="0306-7600490"/>
    <m/>
    <n v="46050"/>
    <n v="46051"/>
    <s v="4-Feb-26 2 pm"/>
    <n v="46051"/>
    <s v="2 pm"/>
    <x v="19"/>
    <n v="46052"/>
    <s v="Ms.Tahira Ms. Farwa"/>
    <s v="Received"/>
    <x v="4"/>
    <x v="27"/>
    <x v="1"/>
    <x v="0"/>
    <s v="Our patient was NPO for two days. We didn’t have meal even after that, but we were charged for the food. On first day we took only 1 cold drink and tea which cost almost Rs. 300/ only. It is requested to pay back our money."/>
    <s v="FNSD: No gap identified from as the diet charged was entered in the system."/>
    <s v="Not Required"/>
    <m/>
    <s v="Y"/>
    <n v="1"/>
  </r>
  <r>
    <n v="32"/>
    <n v="2026"/>
    <x v="2"/>
    <n v="46062"/>
    <s v="C-001-09-02-2026"/>
    <m/>
    <m/>
    <m/>
    <m/>
    <m/>
    <m/>
    <n v="46062"/>
    <n v="46062"/>
    <s v="12-Feb-26 4 PM"/>
    <s v="12-Feb-26"/>
    <s v="4 PM"/>
    <x v="20"/>
    <n v="46062"/>
    <s v="Mr. Naveed Tahir"/>
    <s v="Received"/>
    <x v="0"/>
    <x v="28"/>
    <x v="2"/>
    <x v="1"/>
    <s v="Bushra Hafiza is a patient of Kidney transplant. Today, we reached 6:30 for lab tests, but the Sehat card personals weren’t responding and our test got delayed to 7:20pm. The most critical medicine of renal transplant, Tacrolimus got delayed. And same thing happened yesterday. So, what’s your point of JCI Accreditation? Wasting patient’s time on purpose? Also, now doctor has asked for follow up after we receive the reports. And thanks to your useless patient LMS, you don’t have any patient portal where we can see progress of reports. Great."/>
    <s v="No Gap identified as the patient arrived at 6:30am, sehat card approval requested at 6:38 and received at 6:43."/>
    <s v="Not Required."/>
    <m/>
    <s v="Y"/>
    <n v="1"/>
  </r>
  <r>
    <n v="33"/>
    <n v="2026"/>
    <x v="2"/>
    <n v="46063"/>
    <s v="C-001-10-02-2026"/>
    <n v="46077"/>
    <m/>
    <m/>
    <m/>
    <m/>
    <m/>
    <n v="46063"/>
    <n v="46063"/>
    <s v="10-Feb-26 12 PM"/>
    <s v="10-Feb-26"/>
    <s v="12 PM"/>
    <x v="1"/>
    <n v="46064"/>
    <s v="Zameer-ul-Hassan"/>
    <n v="46085"/>
    <x v="0"/>
    <x v="0"/>
    <x v="0"/>
    <x v="0"/>
    <s v="Staff Unavailability and carelessness of existing staff - A wheelchair patient arrived at 2PM as advised by the coordinator but kept waiting till 6 Pm at FS counter as Miss Ayesha (FS) who arrived at 2:45 and left at 3:20 only attended emergency patients."/>
    <s v="The staff left workstation without adequately handing over her duties as she was feeling unwell. The other staff was absent due to family emergency and informed the AM late."/>
    <s v="Both the staff have received cautions for their lack of responsibility. A staff was organized within 3 hours and the concerned patient admission was proceeded the same day."/>
    <m/>
    <s v="Y"/>
    <n v="1"/>
  </r>
  <r>
    <n v="34"/>
    <n v="2026"/>
    <x v="2"/>
    <n v="46063"/>
    <s v="C-002-10-02-2026"/>
    <n v="46077"/>
    <m/>
    <m/>
    <m/>
    <m/>
    <m/>
    <n v="46063"/>
    <n v="46063"/>
    <s v="10-Feb-26 12 PM"/>
    <s v="10-Feb-26"/>
    <s v="12 PM"/>
    <x v="1"/>
    <n v="46064"/>
    <s v="Zameer-ul-Hassan"/>
    <n v="46085"/>
    <x v="0"/>
    <x v="0"/>
    <x v="0"/>
    <x v="0"/>
    <s v="Staff Unavailability at FS Counter - Patient waiting at FS counter since 2:30 but unable to get response."/>
    <s v="The staff left workstation without adequately handing over her duties as she was feeling unwell. The other staff was absent due to family emergency and informed the AM late."/>
    <s v="Both the staff have received cautions for their lack of responsibility. A staff was organized within 3 hours and the concerned patient admission was proceeded the same day."/>
    <m/>
    <s v="Y"/>
    <n v="1"/>
  </r>
  <r>
    <n v="35"/>
    <n v="2026"/>
    <x v="2"/>
    <n v="46063"/>
    <s v="C-003-10-02-2026"/>
    <n v="46077"/>
    <m/>
    <m/>
    <m/>
    <m/>
    <m/>
    <n v="46063"/>
    <n v="46063"/>
    <s v="10-Feb-26 12 PM"/>
    <s v="10-Feb-26"/>
    <s v="12 PM"/>
    <x v="1"/>
    <n v="46064"/>
    <s v="Zameer-ul-Hassan"/>
    <n v="46085"/>
    <x v="0"/>
    <x v="0"/>
    <x v="0"/>
    <x v="0"/>
    <s v="Staff Unavailability at FS Counter - Patients waiting at FS counter since 3 hours but unable to get response."/>
    <s v="The staff left workstation without adequately handing over her duties as she was feeling unwell. The other staff was absent due to family emergency and informed the AM late."/>
    <s v="Both the staff have received cautions for their lack of responsibility. A staff was organized within 3 hours however this patient had left. He was accommodated the next day."/>
    <m/>
    <s v="Y"/>
    <n v="1"/>
  </r>
  <r>
    <n v="36"/>
    <n v="2026"/>
    <x v="2"/>
    <n v="46063"/>
    <s v="C-004-10-02-2026"/>
    <n v="46077"/>
    <m/>
    <m/>
    <m/>
    <m/>
    <m/>
    <n v="46063"/>
    <n v="46063"/>
    <s v="10-Feb-26 12 PM"/>
    <s v="10-Feb-26"/>
    <s v="12 PM"/>
    <x v="1"/>
    <n v="46064"/>
    <s v="Zameer-ul-Hassan"/>
    <n v="46085"/>
    <x v="0"/>
    <x v="0"/>
    <x v="0"/>
    <x v="0"/>
    <s v="Staff Unavailability at FS Counter - Patients waiting at FS counter since 3 hours but unable to get response."/>
    <s v="The staff left workstation without adequately handing over her duties as she was feeling unwell. The other staff was absent due to family emergency and informed the AM late."/>
    <s v="Both the staff have received cautions for their lack of responsibility. A staff was organized within 3 hours and the concerned patient admission was proceeded the same day."/>
    <m/>
    <s v="Y"/>
    <n v="1"/>
  </r>
  <r>
    <n v="37"/>
    <n v="2026"/>
    <x v="2"/>
    <n v="46063"/>
    <s v="C-005-10-02-2026"/>
    <n v="46077"/>
    <m/>
    <m/>
    <m/>
    <m/>
    <m/>
    <n v="46063"/>
    <n v="46063"/>
    <s v="10-Feb-26 12 PM"/>
    <s v="10-Feb-26"/>
    <s v="12 PM"/>
    <x v="1"/>
    <n v="46064"/>
    <s v="Zameer-ul-Hassan"/>
    <n v="46085"/>
    <x v="0"/>
    <x v="0"/>
    <x v="0"/>
    <x v="1"/>
    <s v="Staff Unavailable at FS Counter whole day - Patient arrived for laboratory tests for first post-transplant follow up but no one from FS is available in emergency to update the discount. Patient is unable to sit."/>
    <s v="No Gaps identified as the patient did not experience any delay due FS staff non availability. As the Tranplant was carried out through CM funds , the required intimation email regarding the use of these funds was received on 9th feb."/>
    <s v="Not Required"/>
    <m/>
    <s v="Y"/>
    <n v="1"/>
  </r>
  <r>
    <n v="38"/>
    <n v="2026"/>
    <x v="2"/>
    <n v="46063"/>
    <s v="C-006-10-02-2026"/>
    <n v="46077"/>
    <m/>
    <m/>
    <m/>
    <m/>
    <m/>
    <n v="46063"/>
    <n v="46063"/>
    <s v="10-Feb-26 12 PM"/>
    <s v="10-Feb-26"/>
    <s v="12 PM"/>
    <x v="1"/>
    <n v="46064"/>
    <s v="Zameer-ul-Hassan"/>
    <n v="46085"/>
    <x v="0"/>
    <x v="0"/>
    <x v="0"/>
    <x v="0"/>
    <s v="A kidney transplant patient, whose both legs are fractured who came from Sialkot was waiting at FS counter since 3 PM and no staff from FS arrived till 6 pm."/>
    <s v="The staff left workstation without adequately handing over her duties as she was feeling unwell. The other staff was absent due to family emergency and informed the AM late."/>
    <s v="Both the staff have received cautions for their lack of responsibility. A staff was organized within 3 hours and the concerned patient's statys was updated the same day at 6:29 pm."/>
    <m/>
    <s v="Y"/>
    <n v="1"/>
  </r>
  <r>
    <n v="39"/>
    <n v="2026"/>
    <x v="2"/>
    <n v="46065"/>
    <s v="C-001-12-02-2026"/>
    <n v="46069"/>
    <m/>
    <m/>
    <m/>
    <m/>
    <m/>
    <n v="46065"/>
    <n v="46065"/>
    <s v="16-Feb-26 4 pm"/>
    <s v="16-Feb-26"/>
    <s v="4 pm"/>
    <x v="21"/>
    <n v="46069"/>
    <s v="Abdul Qudoos"/>
    <m/>
    <x v="0"/>
    <x v="29"/>
    <x v="0"/>
    <x v="1"/>
    <s v="It is respectfully stated that I underwent Varicocele Embolization at PKLI on 20 January 2026, performed in IR department Before the procedure, my ultrasound showed varicocele with pain and scrotal swelling. Unfortunately, even after the procedure, I am still experiencing persistent pain and swelling in the scrotum, especially while standing and walking. Yesterday, I got another ultrasound done, and the report still shows varicocele with similar findings as before the procedure. There has been no significant improvement in my condition so far. I have been trying to contact PKLI through the official phone numbers for guidance and follow-up, but unfortunately, my calls are not being attended. Due to my serious discomfort and ongoing symptoms, I am very worried about my health. I had availed only a 20% discount at the time of procedure, and my family is already under financial pressure. We are not in a position to afford repeated expensive treatments. Therefore, I humbly request the hospital administration to kindly guide me regarding: Whether my treatment has been successful or not. What further steps can be taken to complete or correct my treatment. Whether the hospital can provide necessary follow-up."/>
    <s v="Patient has willingly taken his complaint back."/>
    <m/>
    <m/>
    <m/>
    <n v="1"/>
  </r>
  <r>
    <n v="40"/>
    <n v="2026"/>
    <x v="2"/>
    <n v="46065"/>
    <s v="C-002-12-02-2026"/>
    <n v="46069"/>
    <m/>
    <m/>
    <m/>
    <m/>
    <m/>
    <n v="46065"/>
    <n v="46065"/>
    <s v="16-Feb-26 4 pm"/>
    <s v="16-Feb-26"/>
    <s v="4 pm"/>
    <x v="2"/>
    <n v="46069"/>
    <s v="Ms. Tayyaba"/>
    <n v="46079"/>
    <x v="0"/>
    <x v="30"/>
    <x v="2"/>
    <x v="0"/>
    <s v="Firdous Batool is a potential liver donor. Her Beta Hcg and TSH was entered in system on 14-01-2026 and reported on 03-02-2026 after reminder in lab. Kindly make sure timely reporting of labs to avoid any hinderance in liver transplant work up."/>
    <s v="1. Single sample received against 2 different dated requests/ entry in SIsoft. Sample was run manually and reported via Sample ID, so Sisoft reflects single day's test against that sample ID. So only one tests were performed and reported. 2. Staff overlooking, as staff did not performed tests according to the sample receiving sheet and at the time of result entry he entered sample ID instead of MR number."/>
    <s v="1-Phlebotomy staff to collect two separate samples if sisoft has two separate entries. 2-Document staff error and conduct counselling."/>
    <m/>
    <m/>
    <n v="1"/>
  </r>
  <r>
    <n v="41"/>
    <n v="2026"/>
    <x v="2"/>
    <n v="46065"/>
    <s v="C-003-12-02-2026"/>
    <n v="46069"/>
    <m/>
    <m/>
    <m/>
    <m/>
    <m/>
    <n v="46065"/>
    <n v="46065"/>
    <s v="16-Feb-26 4 pm"/>
    <s v="16-Feb-26"/>
    <s v="4 pm"/>
    <x v="0"/>
    <n v="46069"/>
    <s v="Ms. Tahira"/>
    <m/>
    <x v="0"/>
    <x v="31"/>
    <x v="3"/>
    <x v="0"/>
    <s v="So, the patient was feeling well throughout the dialysis, but when it was the time to discharge the dialyzer, the staff did some negligence and didn’t close a pipe to her catheter due to which some blood lost, and she became unconscious and couldn’t recover. Moreover, that staff person was shouting as well on every other patient."/>
    <m/>
    <m/>
    <m/>
    <m/>
    <n v="1"/>
  </r>
  <r>
    <n v="42"/>
    <n v="2026"/>
    <x v="2"/>
    <n v="46071"/>
    <s v="C-001-18-02-2026"/>
    <n v="46073"/>
    <m/>
    <m/>
    <m/>
    <m/>
    <m/>
    <m/>
    <n v="46071"/>
    <s v="23-Feb-26 4 PM"/>
    <s v="23-Feb-26"/>
    <s v="4 PM"/>
    <x v="22"/>
    <n v="46072"/>
    <s v="Mr. Noor Dr. Huma"/>
    <s v="02-Mar-26 20-Feb-26"/>
    <x v="0"/>
    <x v="32"/>
    <x v="0"/>
    <x v="0"/>
    <s v="Dear Sir/Madam, I am a patient under Dr. Osama and had my checkup on 30th January. During the consultation, I was advised to undergo blood tests and a scan. It has now been 15 days, and despite visiting multiple times to consult regarding my reports, I have received no proper response. There seems to be no facilitation for patients in this regard. I am from Hyderabad, and it is very difficult for me to travel frequently just to check whether my reports are ready. There has been no telephonic coordination, and I am still unaware of my test results. Secondly, Dr. Hashaam also advised me to undergo a scan. However, his team repeatedly asks me to visit in person, yet I have not been able to properly consult with him. We are even being asked to renew our voucher simply to check the reports. This has caused significant inconvenience. As a patient of Pakistan Kidney and Liver Institute, I expected better coordination and patient support. Unfortunately, I have found no convenience in the process. I kindly request you to look into this matter urgently and facilitate access to my reports without further delay. Your prompt support would be greatly appreciated. Thanking you in anticipation."/>
    <s v="Gastro: There was delay in post-investigation follow up beyond the usual time frame due to consultant's clinical commitments and institutional academic activities, resulting in patient inconvenience. Nephrology:No gap identified as patient presented with more than 15 days old nephrology voucher and as per policy they needed to generate a new nephrlogy voucher to get their reports checked."/>
    <s v="Gastro: The patient was contacted, apologized to and subsequently reviewed on 18th February by Dr.Osama Nephrology: A follow-up appointment with Dr. Husham was arranged with facilitation for consultation without additional voucher charges."/>
    <m/>
    <s v="Y"/>
    <n v="1"/>
  </r>
  <r>
    <n v="43"/>
    <n v="2026"/>
    <x v="2"/>
    <n v="46071"/>
    <s v="C-002-18-02-2026"/>
    <n v="46071"/>
    <m/>
    <m/>
    <m/>
    <m/>
    <m/>
    <n v="46071"/>
    <n v="46071"/>
    <s v="23-Feb-26 4 PM"/>
    <s v="23-Feb-26"/>
    <s v="4 PM"/>
    <x v="23"/>
    <n v="46072"/>
    <s v="Mr. Noor Mr. Umair"/>
    <s v="25-Feb-26 2-Mar-26"/>
    <x v="0"/>
    <x v="4"/>
    <x v="0"/>
    <x v="0"/>
    <s v="The continuous delay in checking my patient at your esteemed institute. For the past month, we have been visiting the OPD regularly, but unfortunately, the staff has repeatedly asked us to “wait” without providing proper examination, clear guidance, or a confirmed appointment. Despite multiple visits and requests, my patient has not been properly checked by the concerned doctor. This prolonged delay is causing serious distress and concern regarding the patient’s health condition. We visited hospital on 16th Feb as per our follow up date and came to know that our Dr. Bilal Shaukat is not available. Further given us next appointment of 14th May 2026, which is very far and patient health is already not good. Please guide and provide proper and timely treatment."/>
    <m/>
    <m/>
    <m/>
    <m/>
    <n v="1"/>
  </r>
  <r>
    <n v="44"/>
    <n v="2026"/>
    <x v="2"/>
    <n v="46077"/>
    <s v="C-001-24-02-2026"/>
    <n v="46077"/>
    <m/>
    <m/>
    <m/>
    <m/>
    <m/>
    <n v="46077"/>
    <n v="46077"/>
    <s v="27-Feb-26 12 pm"/>
    <s v="27-Feb-26"/>
    <s v="12 pm"/>
    <x v="3"/>
    <n v="46077"/>
    <s v="Mr. Kashif"/>
    <n v="46085"/>
    <x v="0"/>
    <x v="33"/>
    <x v="1"/>
    <x v="0"/>
    <s v="موضوع: ناقص انتظام اور غیر ذمہ دارانہ رویّے کے خلاف شکایت محترم جناب، PKLI آج میں آیا/آئی اور مجھے باقاعدہ ٹوکن جاری کیا گیا۔ بعد ازاں ریسپشن پر موجود عملے نے مجھے بتایا کہ آج مریضوں کی تعداد مکمل ہو چکی ہے اور اب میرا نمبر کل آئے گا۔ میرا سوال یہ ہے کہ اگر آج کی حد مکمل ہو چکی تھی تو مجھے ٹوکن کیوں جاری کیا گیا؟ اس عمل کی وجہ سے میرا قیمتی وقت ضائع ہوا ذہنی دباؤ اور پریشانی کا سامنا کرنا پڑا سفر اور دیگر اخراجات برداشت کرنے پڑے۔ یہ واضح طور پر انتظامی کوتاہی ہے۔ مریض پہلے ہی تکلیف اور بیماری کی حالت میں ہوتا ہے، ایسے میں اس طرح کی غیر منظم پالیسی ناقابلِ قبول ہے۔ لہٰذا گزارش ہے کہ اس معاملے کی فوری انکوائری کی جائے۔ متعلقہ عملے کے خلاف مناسب کارروائی کی جائے۔ آئندہ مریضوں کو اس قسم کی صورتحال سے بچانے کے لیے واضح نظام بنایا جائے ۔مجھے اس شکایت پر باقاعدہ تحریری جواب فراہم کیا جائے۔"/>
    <s v="Patient was issued a token despite heavy backlog, without clear assurance of same day consultation."/>
    <s v="The patient was accomodated the same day. Token issuance is been capped as per short working hours."/>
    <m/>
    <s v="Y"/>
    <n v="1"/>
  </r>
  <r>
    <n v="45"/>
    <n v="2026"/>
    <x v="2"/>
    <n v="46077"/>
    <s v="C-002-24-02-2026"/>
    <n v="46077"/>
    <m/>
    <m/>
    <m/>
    <m/>
    <m/>
    <n v="46077"/>
    <n v="46077"/>
    <s v="27-Feb-26 12 pm"/>
    <s v="27-Feb-26"/>
    <s v="12 pm"/>
    <x v="24"/>
    <s v="24-Feb-26 04-Mar-25 04-Mar-25"/>
    <s v="Mr. Azhar Astina Umair"/>
    <s v="02-Mar-2026"/>
    <x v="0"/>
    <x v="34"/>
    <x v="2"/>
    <x v="0"/>
    <s v="Patient dialysis file has been missing for 2 weeks now."/>
    <m/>
    <m/>
    <m/>
    <m/>
    <n v="1"/>
  </r>
  <r>
    <n v="46"/>
    <n v="2026"/>
    <x v="2"/>
    <n v="46079"/>
    <s v="C001-26-02-2026"/>
    <n v="46083"/>
    <m/>
    <m/>
    <m/>
    <m/>
    <m/>
    <n v="46079"/>
    <n v="46079"/>
    <s v="5-March-26 2 PM"/>
    <s v="5-March-26"/>
    <s v="2 PM"/>
    <x v="25"/>
    <s v="27-Feb-26 27-Feb-26 27-Feb-26"/>
    <s v="Mr. Zaheen Mr. Qudoos Mr. Naveed"/>
    <n v="46139"/>
    <x v="3"/>
    <x v="35"/>
    <x v="0"/>
    <x v="0"/>
    <s v="The patient reported billing confusion, paperwork errors, delays between departments, and alleged irregularities in procurement and cashier handling. He also highlighted lack of staff coordination and unprofessional behavior at counters, causing significant inconvenience to the patient and attendant."/>
    <m/>
    <m/>
    <m/>
    <m/>
    <n v="1"/>
  </r>
  <r>
    <n v="47"/>
    <n v="2026"/>
    <x v="2"/>
    <n v="46079"/>
    <s v="C-002-26-02-2026"/>
    <s v="To HR"/>
    <m/>
    <m/>
    <m/>
    <m/>
    <m/>
    <m/>
    <m/>
    <m/>
    <m/>
    <m/>
    <x v="0"/>
    <m/>
    <s v="Miss Tahira"/>
    <m/>
    <x v="0"/>
    <x v="36"/>
    <x v="1"/>
    <x v="1"/>
    <s v="Date: 25 / 02 / 2026 Responsible Personnel. Mr. Ghulam Murtaza U.ID: 2551, Designation: OT Tech The following negligence of Mr. Ghulam Murtaza, • He used the exoscope during the procedure. The exoscope was tightened accidentally during assembling and he did not see that the exoscope was tightly closed. This caused dent to the exoscope. • Ghulam Murtaza knows about the SOPS of the exoscope and how we can use it. • When the team leader Mr Muhammad Adnan U.id 2466 asked him if he had seen it, he replied that he did not know."/>
    <m/>
    <m/>
    <m/>
    <m/>
    <n v="1"/>
  </r>
  <r>
    <n v="48"/>
    <n v="2026"/>
    <x v="2"/>
    <n v="46080"/>
    <s v="C-001-27-02-2026"/>
    <s v="To HR"/>
    <m/>
    <m/>
    <m/>
    <m/>
    <m/>
    <m/>
    <m/>
    <m/>
    <m/>
    <m/>
    <x v="1"/>
    <m/>
    <s v="Mr. Zameer ul Hassan"/>
    <m/>
    <x v="0"/>
    <x v="3"/>
    <x v="1"/>
    <x v="0"/>
    <s v="I am writing to formally bring to your attention the inappropriate and unprofessional behaviour of one of the staff members in financial screening department, Miss Saima Basharat (AM Financial screening) Yesterday, I visited Urology OPD Counter 2 to submit a document to her. During this interaction, her behaviour was discourteous and unprofessional. She raised her voice and stated that she could not accept the document at that time, instructing me to return the following day. The way this was communicated was inappropriate and upsetting, particularly as it occurred in the presence of my mother and son. I respectfully submit that such conduct does not align with the standards of professionalism and courtesy expected from hospital staff. If similar behaviour is exhibited toward patients, it may negatively impact on the hospital’s reputation and the overall patient experience. Maintaining respectful and compassionate communication is essential in a healthcare environment. I kindly request that this matter be reviewed and that appropriate steps be taken to ensure that staff members consistently uphold the standards outlined in the hospital’s code of conduct. Thank you for your attention to this matter. I look forward to your response."/>
    <m/>
    <m/>
    <m/>
    <m/>
    <n v="1"/>
  </r>
  <r>
    <n v="49"/>
    <n v="2026"/>
    <x v="2"/>
    <n v="46080"/>
    <s v="C-002-27-02-2026"/>
    <m/>
    <m/>
    <m/>
    <m/>
    <m/>
    <m/>
    <n v="46080"/>
    <n v="46080"/>
    <s v="5-Mar-26 12 pm"/>
    <s v="5-Mar-26"/>
    <s v="12 pm"/>
    <x v="26"/>
    <s v="2-Mar-26 13-Mar-26"/>
    <s v="Ms. Nasira Mr. Kashif"/>
    <n v="46087"/>
    <x v="0"/>
    <x v="4"/>
    <x v="1"/>
    <x v="0"/>
    <s v="Patient's appointment time was 2:15pm, she reached hospital at 2 pm but going through different counters she reached OPD 4 at 2:15 pm where she kept waiting from 2:15 to 2:30 for outsite Doctor's clinic for Mr. Arslan who was in the clinic. At 2:30 pm Mr. Arslan Noor came out of th the clinic and went to ask for patient check up at 2:32 but the doctor refused by saying that her appointment time has been ended. The she visited multiple departments including admin and Quality but couldn't be facilitated."/>
    <m/>
    <m/>
    <m/>
    <m/>
    <n v="1"/>
  </r>
  <r>
    <n v="50"/>
    <n v="2026"/>
    <x v="1"/>
    <n v="46083"/>
    <s v="C-001-02-03-2026"/>
    <m/>
    <m/>
    <m/>
    <m/>
    <m/>
    <m/>
    <n v="46083"/>
    <n v="46083"/>
    <s v="6-Mar-26 12 PM"/>
    <s v="6-Mar-26"/>
    <s v="12 PM"/>
    <x v="27"/>
    <s v="3-Mar-26 04-Mar-26"/>
    <s v="Noor Dr. Sheri"/>
    <n v="46105"/>
    <x v="1"/>
    <x v="1"/>
    <x v="3"/>
    <x v="0"/>
    <s v="I am writing to formally lodge a complaint against PKLI regarding the treatment and handling of my late brother, who was a liver tumor patient and was under consultation at your hospital. My brother was an OPD patient at PKLI, and we had been consulting Dr. Ahmad Karim Malik and Dr. Imran Syed regarding his condition. On 8 January, we visited PKLI for a follow-up appointment with Dr. Imran Syed. During that visit, we were instructed to get certain baseline tests done. We complied and completed the required tests. However, after returning home, we received no communication whatsoever regarding the test results, the seriousness of his condition, or any further urgent medical advice. At no point where we informed that his condition was critical, nor were we advised that he required immediate admission, urgent intervention, or any emergency management such as drainage of abdominal fluid. Instead, throughout the course of treatment, the doctors repeatedly insisted on liver transplant as the only option, despite the fact that they were fully aware that we did not have a donor available. We believe that the treating doctors failed in their duty to properly guide us regarding the actual medical urgency of the patient’s condition and failed to offer or discuss other immediate supportive or life-saving treatment options. On 19 January, my brother developed excruciating pain, and we rushed him to the PKLI Emergency Department at approximately 2:00 PM. Unfortunately, what happened there was deeply shocking, painful, and unacceptable. The doctor on duty in the emergency did not attend to my brother in a timely and serious manner. Instead of responding professionally to a critical patient, the doctor appeared occupied in inappropriate personal interaction with a female colleague in front of us while my brother was in severe distress. This conduct was highly unprofessional and inhumane. Moreover, the emergency staff refused to treat or admit him, stating that no bed was available and that their procedures were lengthy, and told us that they could not facilitate us. A critically ill liver patient in severe pain was therefore denied timely emergency care by PKLI. Left with no meaningful help from your hospital, we were forced to take him to Services Hospital, where sadly he passed away in the early morning of 20 January. We strongly believe that the following acts and omissions on the part of PKLI and its concerned doctors/staff amount to serious negligence and misconduct:"/>
    <m/>
    <m/>
    <m/>
    <m/>
    <n v="1"/>
  </r>
  <r>
    <n v="51"/>
    <n v="2026"/>
    <x v="1"/>
    <n v="46083"/>
    <s v="C-002-02-03-2026"/>
    <m/>
    <m/>
    <m/>
    <m/>
    <m/>
    <m/>
    <n v="46083"/>
    <n v="46083"/>
    <s v="6-Mar-26 12 PM"/>
    <s v="6-Mar-26"/>
    <s v="12 PM"/>
    <x v="4"/>
    <m/>
    <s v="Noor"/>
    <n v="46105"/>
    <x v="1"/>
    <x v="37"/>
    <x v="2"/>
    <x v="0"/>
    <s v="I am from Rawalpindi, PKLI Rawalpindi refer to PKLI Lahore for EUS. They sent us to Lahore for EUS, but the EUS procedure hasn't happened yet. It's been 1.5 months; they're calling us and discharging us repeatedly. Every time they discharge us without doing the EUS, saying it will be done later. He is saying for stunt but without doing the stunt procedure."/>
    <m/>
    <m/>
    <m/>
    <m/>
    <n v="1"/>
  </r>
  <r>
    <n v="52"/>
    <n v="2026"/>
    <x v="1"/>
    <n v="46085"/>
    <s v="C-001-04-03-2026"/>
    <n v="46086"/>
    <s v="Kalsoom Bibi"/>
    <n v="973244"/>
    <s v="Abdul Razzaq"/>
    <s v="0321-4798503"/>
    <m/>
    <n v="46085"/>
    <n v="46086"/>
    <s v="10-Mar-26 2 pm"/>
    <s v="10-Mar-26"/>
    <s v="2 pm"/>
    <x v="28"/>
    <n v="46086"/>
    <s v="Dr. Warda Riaz"/>
    <n v="46127"/>
    <x v="1"/>
    <x v="1"/>
    <x v="2"/>
    <x v="0"/>
    <s v="My sister was diagnosed with hydronephrosis in both kidneys. RIRS Procedure for removing kidney stone from left kidney was carried out on 06 Oct 2025 with additional information that right kidney has gross hydronephrosis. In order to check functioning of right kidney, it will be first cleared of blockage thru stent. Later it was revealed that no stent was inserted and nephrostomy tube was inserted instead on 05 Jan 26. The tube has caused infection and despite repeated follow ups nobody is listening to. More so, tests are being repeated with no headway or clear advice. Following tests have been carried out repeatedly incurring lot of money unaffordable for the poor family managing treatment through zakat funds. -CT scan (03 times) -DMSA (02 times) -Anesthetic assessment for procedure (04 times) -And some other supporting tests. The procedure may be done on priority to avoid loss of a life"/>
    <m/>
    <m/>
    <m/>
    <m/>
    <n v="1"/>
  </r>
  <r>
    <n v="53"/>
    <n v="2026"/>
    <x v="1"/>
    <n v="46087"/>
    <s v="C-001-06-03-2026"/>
    <n v="46087"/>
    <m/>
    <m/>
    <m/>
    <m/>
    <m/>
    <n v="46087"/>
    <n v="46087"/>
    <m/>
    <m/>
    <m/>
    <x v="29"/>
    <m/>
    <s v="Mr. Khalid"/>
    <n v="46105"/>
    <x v="2"/>
    <x v="38"/>
    <x v="1"/>
    <x v="1"/>
    <s v="Transport didn't pick up the staff."/>
    <m/>
    <m/>
    <m/>
    <m/>
    <n v="1"/>
  </r>
  <r>
    <n v="54"/>
    <n v="2026"/>
    <x v="1"/>
    <n v="46090"/>
    <s v="C-001-09-03-2026"/>
    <n v="46090"/>
    <m/>
    <m/>
    <m/>
    <m/>
    <m/>
    <n v="46090"/>
    <n v="46090"/>
    <s v="13-Mar-26 2 pm"/>
    <s v="13-Mar-26"/>
    <s v="2 pm"/>
    <x v="30"/>
    <s v="10-Mar-26 10-Mar-26"/>
    <s v="Mr. Mujtaba Mr. Noor"/>
    <n v="46112"/>
    <x v="7"/>
    <x v="1"/>
    <x v="2"/>
    <x v="0"/>
    <s v="It is requested that my patient is admitted in your hospital, His name is Khalid Javed MRN#1132177. Dr Khurram Anis prescribed a medicine named Lenvatinib 4Mg, for which I got approval from the Dean of Hospital for one month dose, but Pharmacy issued for only 15 days and asked to come for more after 15 days. Today When I came after 15 days, I was told by the pharmacy that we don’t have this medicine now. Sir My patient is in pain and here we are treated badly. We took appointment of Dr. Usman Aujla but in the Clinic, there was another Person who checked our patient, He asked us to don’t bring your patient here and advised us to give Dicloran injections to the patient, your patient have only 3 to 6 months now, and you don’t need to bring again here. Patients come to the hospital for recovery not to get despised by the staff."/>
    <s v="Pharmacy: No gap identified from pharmacy as the subsequent scheduled supply was delayed. Gastro Response: It is likely that communication at that time may not have been delivered in a sufficciently and empathertic manner , which is particularly important in cases involving patients who have experienced life threatening conditions and are on the terminal care pathway."/>
    <s v="Pharmacy : The medicine is now included in bulk tender and till the arrival of medicine through bulk tender , its quantity is increased in local purchase. Action Plan: 1-Constructive feedback has been provided to the senior registrar. Emphasis has been placed on the importance of compassionate an patient centered communication. 2-Appropriate measures have been taken to ensure that, going forward, all interactions between healthcare professionals and patients are conducted with empathy, sensitivity, and professionalism. 3-The steps are intended to enhance the quality of patient care and to uphold the professional integrity of both the medical staff and the institution."/>
    <m/>
    <m/>
    <n v="1"/>
  </r>
  <r>
    <n v="55"/>
    <n v="2026"/>
    <x v="1"/>
    <n v="46090"/>
    <s v="C-002-09-03-2026"/>
    <n v="46090"/>
    <m/>
    <m/>
    <m/>
    <m/>
    <m/>
    <n v="46090"/>
    <n v="46090"/>
    <s v="12-Mar-26 2pm"/>
    <s v="12-Mar-26"/>
    <s v="2pm"/>
    <x v="31"/>
    <s v="10-Mar-26 10-Mar-26"/>
    <s v="Mr. KASHIF Mr. ZAMEER"/>
    <s v="25-Mar-26 25-Mar-26"/>
    <x v="2"/>
    <x v="39"/>
    <x v="1"/>
    <x v="1"/>
    <s v="Patient came for FS assessment but on his turn he was told that his token has already been used. However upon investigation it was found that the FS staff accomodated the patient with the same token number from a previous date in place of the complainant who had the valid token."/>
    <s v="Human Error: The staff was newly inducted and under training , he accomodated the patient without noticing the date. System Limitation: Only one patient assessment allowed per token each day by the system."/>
    <s v="A new token was issued to the patient and his FS was done. The staff has completed his training and calling patients by MRN instead of token number is suggested to avoid further confusion."/>
    <m/>
    <m/>
    <n v="1"/>
  </r>
  <r>
    <n v="56"/>
    <n v="2026"/>
    <x v="1"/>
    <n v="46090"/>
    <s v="C-003-09-03-2026"/>
    <n v="46090"/>
    <m/>
    <m/>
    <m/>
    <m/>
    <m/>
    <n v="46090"/>
    <n v="46090"/>
    <s v="12-Mar-26 2pm"/>
    <s v="12-Mar-26"/>
    <s v="2pm"/>
    <x v="5"/>
    <n v="46091"/>
    <s v="Mr. Qudoos"/>
    <m/>
    <x v="1"/>
    <x v="40"/>
    <x v="0"/>
    <x v="0"/>
    <s v="Patient came for CT scan as advised by Dr. Ihsan ul Haq but he was told by the radiology reception staff that department is closed as it is Saturday , he can get his scan done on Monday. His MDT follow up was on Tuesday. Patient is requesting not to close the facility on weekends."/>
    <m/>
    <m/>
    <m/>
    <m/>
    <n v="1"/>
  </r>
  <r>
    <n v="57"/>
    <n v="2026"/>
    <x v="1"/>
    <n v="46091"/>
    <s v="C-001-10-03-2026"/>
    <n v="46091"/>
    <m/>
    <m/>
    <m/>
    <m/>
    <m/>
    <n v="46091"/>
    <n v="46091"/>
    <s v="16-Mar-26 2pm"/>
    <s v="16-Mar-26"/>
    <s v="2pm"/>
    <x v="4"/>
    <n v="46092"/>
    <s v="Mr. Sheeraz"/>
    <n v="46112"/>
    <x v="1"/>
    <x v="1"/>
    <x v="1"/>
    <x v="1"/>
    <s v="Patient Muslim Khan underwent EUS + FNB procedure and after the procedure staff handed over the report copy and discharged the patient .Dr.Usman Iqbal Aujla didn't provided prost-procedure guidelines."/>
    <s v="No Gap identified as there has been no lapse in clinical communication."/>
    <s v="Not Required."/>
    <m/>
    <m/>
    <n v="1"/>
  </r>
  <r>
    <n v="58"/>
    <n v="2026"/>
    <x v="1"/>
    <n v="46091"/>
    <s v="C-002-10-03-2026"/>
    <n v="46091"/>
    <m/>
    <m/>
    <m/>
    <m/>
    <m/>
    <n v="46091"/>
    <n v="46091"/>
    <s v="16-Mar-26 2pm"/>
    <s v="16-Mar-26"/>
    <s v="2pm"/>
    <x v="4"/>
    <n v="46092"/>
    <s v="Mr. Sheeraz"/>
    <n v="46107"/>
    <x v="1"/>
    <x v="41"/>
    <x v="0"/>
    <x v="0"/>
    <s v="The doctors don't come on time. They are always away while being on their OPD timings. Bhai koi inko puchna wala nahi. Koi inko batao ke Bhai jab OPD TIME hai to OPD mein betho naa ap log or so kam karne lag jate ho. Jab unke coordinator se pucho to bolte humein nahi pata kab ayenge, hum nahi puch sakte ke woh kab ayeinge, apko bas chup karke wait karna pare ga. Jab bhi ao ya to doctor interviews mein bethe hotay ya phir kisi conference mein ya phir koi or kaam. Kabhi bhi humein doctor time par nahi mila. Humein 10 AM ka time dia gaya tha or hum 9 baje pohanch chukay thay. Or doctor humein mashallah se 1 baje mila or ye nahi ke ye koi khaas baat hai PKLI ke doctors ka patients ko 1-3 ghantay wait karwana to inke liye regular hai. Apko patients ka koi ihsas nahi, na apko patients ke time ki koi qadar hai. Banda bahir beth kar zaleel hota rahe bas doctor ne to tab hi check karna inka MOOD ho ga. Ajeeb harkat hein. No doctor specifically, they are all as i spoke above. None of them have the time of the day to attend to patients. 1-2 Ghantay patients ko zaleel karne ke baad ye ate hein or MAXIMUM 3 MIN baat karke nikal jata hai. If someone is above these doctors, then please take notice of this. These doctors need to value their patients and need to acknowledge that patients' time is also valuable!"/>
    <s v="Patient's appointment time was 10 am but he got checked at 1 pm as the doctor was not avaiable the coordinators also didn't inform about the arrival time of doctor. The patient never finds doctor on time and the doctors are always busy in interviews and conferences."/>
    <s v="1- Doctor occupied in interviews during OPD hours leading to delays in OPD consultations. 2-clinical staff unable to provide accurate information regarding doctor arrival times. 3-After doctor arrival the patient experienced prolonged waiting at vitals."/>
    <s v="Enforcement of strict adherence to OPD schedules , ensure real-time communication between doctors and clinic staff regarding availability, and improve coordination at vitals to minimize patient waiting times and enhance overall clinic efficiency."/>
    <m/>
    <n v="1"/>
  </r>
  <r>
    <n v="59"/>
    <n v="2026"/>
    <x v="1"/>
    <n v="46092"/>
    <s v="C-001-11-03-2026"/>
    <n v="46092"/>
    <s v="M. Ayyan"/>
    <n v="1138750"/>
    <s v="Asar Khan"/>
    <s v="0300-3570676"/>
    <s v="Karachi"/>
    <n v="46092"/>
    <n v="46093"/>
    <s v="19-Mar-26 2pm"/>
    <s v="19-Mar-26"/>
    <s v="2pm"/>
    <x v="32"/>
    <n v="46093"/>
    <s v="Ms. Sana Dr. Ahmad Sheri"/>
    <s v="17-Mar-26 26-Mar-26"/>
    <x v="5"/>
    <x v="42"/>
    <x v="2"/>
    <x v="0"/>
    <s v="This Patient came for administration of Antibiotic injection advised by Pead’s Nephrologist. -Doctor entered the antibiotic in Sisoft. -Hospital staff and patient’s attendant himself went to OPD Pharmacy many times but every time they said, medicine is not appearing in the system. AMU: Patient presented same day in ER, His BP was high but there was no Peads doctor available. A senior lady doctor in AMU said, if a patient reaches in emergency with critical condition, it takes almost an hour to receive medicines."/>
    <s v="Training gap: The entry was wrongly done by the doctors."/>
    <s v="Training of doctors on correct order entry will be conducted by the ICT department."/>
    <m/>
    <m/>
    <n v="1"/>
  </r>
  <r>
    <n v="60"/>
    <n v="2026"/>
    <x v="1"/>
    <n v="46092"/>
    <s v="C-002-11-03-2026"/>
    <n v="46092"/>
    <m/>
    <m/>
    <m/>
    <m/>
    <m/>
    <n v="46092"/>
    <n v="46093"/>
    <s v="17-Mar-26 2pm"/>
    <s v="17-Mar-26"/>
    <s v="2pm"/>
    <x v="0"/>
    <n v="46092"/>
    <s v="Ms. Tahira"/>
    <m/>
    <x v="6"/>
    <x v="43"/>
    <x v="1"/>
    <x v="0"/>
    <s v="The patient came into the IR assessment room and the staff there were very lazy and engaged in gossiping with the patients. He waited for BMI for 40 minutes and asked the staff to speed up the process as the patients were on fasting but the staff present there told him that he could go anywhere to file his complaint."/>
    <m/>
    <m/>
    <m/>
    <m/>
    <n v="1"/>
  </r>
  <r>
    <n v="61"/>
    <n v="2026"/>
    <x v="1"/>
    <n v="46092"/>
    <s v="C-003-11-03-2026"/>
    <n v="46092"/>
    <s v="Adeel Fatima"/>
    <n v="1103062"/>
    <s v="Dr. Houria Javed"/>
    <s v="0331-5142677"/>
    <s v="Islamabad"/>
    <n v="46092"/>
    <n v="46092"/>
    <s v="12-Mar-26 12pm"/>
    <s v="12-Mar-26"/>
    <s v="12pm"/>
    <x v="0"/>
    <n v="46092"/>
    <s v="MS. Tahira"/>
    <s v="Received"/>
    <x v="6"/>
    <x v="44"/>
    <x v="2"/>
    <x v="0"/>
    <s v="Mr. Nathaniel offered malaysian herbs to the patient of liver transplant and guided her not to move forward towards transplant.Patient faced confusion."/>
    <m/>
    <s v="A formal disciplinary action has been taken against the staff nurse."/>
    <m/>
    <s v="Y"/>
    <n v="1"/>
  </r>
  <r>
    <n v="62"/>
    <n v="2026"/>
    <x v="1"/>
    <n v="46094"/>
    <s v="C-001-13-03-2026"/>
    <n v="46094"/>
    <m/>
    <m/>
    <m/>
    <m/>
    <m/>
    <n v="46094"/>
    <n v="46093"/>
    <s v="19-Mar-26 2pm"/>
    <s v="19-Mar-26"/>
    <s v="2pm"/>
    <x v="4"/>
    <n v="46094"/>
    <s v="Ms. Sumaira Kalsoom"/>
    <m/>
    <x v="1"/>
    <x v="1"/>
    <x v="2"/>
    <x v="1"/>
    <s v="Patient was sick and needed to shift to MICU as per orders of medical ICU team after assessment of patient in IPD upon consultation, and as per SOPs Dr. Lubna MO on duty needed to accompany the patient along with nursing staff while shifting to ICU but Dr. Lubna refused to accompany the patient and not went to shift the patient."/>
    <m/>
    <s v="Doctor Lubna was counselled for not following the protocol."/>
    <m/>
    <m/>
    <n v="1"/>
  </r>
  <r>
    <n v="63"/>
    <n v="2026"/>
    <x v="1"/>
    <n v="46097"/>
    <s v="C-002-16-03-2026"/>
    <n v="46097"/>
    <s v="Afsheen Zeeshan"/>
    <n v="1076488"/>
    <s v="Dr. Salman Shehzad"/>
    <s v="0333-4590374"/>
    <m/>
    <n v="46097"/>
    <n v="46097"/>
    <s v="19-Mar-26 2pm"/>
    <s v="19-Mar-26"/>
    <s v="2pm"/>
    <x v="33"/>
    <n v="46097"/>
    <s v="Ms. Zaheen Ms. Nasira"/>
    <n v="46105"/>
    <x v="1"/>
    <x v="1"/>
    <x v="0"/>
    <x v="1"/>
    <s v="Date. 3/11/2026 The patient is an LDLT candidate who recently underwent PCI (Percutaneous Coronary Intervention). The PCI procedure was performed on 10/03/2026 at 13:30 at IMC Hospital, Lahore. The patient was subsequently discharged from IMC on 11/03/2026 at 10:00 AM. Immediately after discharge from IMC, the patient was called to PKLI for evaluation/reassessment for anesthesia by the liver transplant clinical coordinator Mr. Kashif. Upon arrival at PKLI, the patient appeared drowsy and tired. The attendant took the patient to AMU, where she was assessed and then sent back to IPD-2. Later, when the patient presented to the Anesthesia Clinic, she was still drowsy, tired, and slightly disoriented. Considering the patient’s recent PCI and overall clinical condition, she was at high risk, and her condition was not appropriate for immediate OPD assessment after discharge. Ideally, the patient should have been allowed to go home, rest, and recover after the PCI, and the evaluation could have been scheduled at a later time. Additionally, the patient had already been scheduled for another visit in same condition in OPD visit on 12/03/2026 for routine blood tests. The patient’s condition at that time was not suitable for OPD visits. I contacted the Liver Transplant Surgeon and informed them about the situation and the patient’s condition. Patient’s husband was informed about condition"/>
    <s v="No Gap identified from the cardiology and LTX staff as the patient came by himself."/>
    <s v="Not Required."/>
    <m/>
    <s v="Y"/>
    <n v="1"/>
  </r>
  <r>
    <n v="64"/>
    <n v="2026"/>
    <x v="1"/>
    <n v="46099"/>
    <s v="C-001-18-03-2026"/>
    <n v="46099"/>
    <m/>
    <m/>
    <m/>
    <m/>
    <m/>
    <n v="46099"/>
    <n v="46099"/>
    <m/>
    <m/>
    <m/>
    <x v="3"/>
    <n v="46105"/>
    <s v="Mr. Bilal"/>
    <m/>
    <x v="2"/>
    <x v="45"/>
    <x v="0"/>
    <x v="1"/>
    <s v="DISCHARGE SUMMARIES MISSING FROM CONFIDENTIAL FILE BY FDO. ALREADY PLACE A COMPLAIN MULTIPLE TIMES BUT NO ACTION TAKEN."/>
    <m/>
    <m/>
    <m/>
    <m/>
    <n v="1"/>
  </r>
  <r>
    <n v="65"/>
    <n v="2026"/>
    <x v="1"/>
    <n v="46105"/>
    <s v="C-001-24-03-2026"/>
    <n v="46105"/>
    <m/>
    <m/>
    <m/>
    <m/>
    <m/>
    <n v="46105"/>
    <n v="46105"/>
    <s v="27-Mar-26 3PM"/>
    <s v="27-Mar-26"/>
    <s v="3PM"/>
    <x v="0"/>
    <n v="46105"/>
    <s v="Mr. Bilal"/>
    <n v="46139"/>
    <x v="2"/>
    <x v="46"/>
    <x v="1"/>
    <x v="0"/>
    <s v="Subject: Serious Feedback – Management Failure at 5th Floor IPD (Room B-517) To the Management, I’m writing this because I actually care about the reputation of this hospital, but what I experienced today during my father’s shift from ICU to IPD (Room B-517) was a total mess. My father just had his URS and TURBT surgery yesterday—he’s a sensitive post-op patient—yet the coordination between the 4th and 5th floors was non-existent. Here’s exactly what went wrong: The Room wasn't Ready: We were sent to B-517, but it clearly hadn't been cleaned. The sheets weren't changed, and the hygiene was visibly poor. Zero Seriousness: The AC button wasn't working, keeping the room at 23°C. For a patient in his condition, that’s a big deal. I was told &quot;someone is coming&quot; for 30 minutes, but no one showed up. Even a basic blanket took 45 minutes to arrive. The &quot;Blame Game&quot; Culture: Instead of just fixing the problem, every staff member I spoke to was busy blaming someone else. I wasn't looking for a debate or a justification; I was looking for a solution. Showing irritation toward a family member who is being calm and respectful is unprofessional. Lack of Transparency: When I asked the receptionist if she even got the notification from the 4th floor about our room, she dodged the question. This isn't a sales job where you &quot;manage&quot; the customer; this is a hospital where you provide results. On our first day in Room B-516, I was genuinely impressed by the staff and the coordination. Today was the complete opposite. It felt like I was asking for a favour rather than a service we are paying for. I’m sharing this not just for my father’s sake, but because your organization is losing its &quot;grace&quot; due to this lack of ownership. I hope you look into why the 5th-floor team is struggling with basic coordination and accountability today."/>
    <m/>
    <m/>
    <m/>
    <m/>
    <n v="1"/>
  </r>
  <r>
    <n v="66"/>
    <n v="2026"/>
    <x v="1"/>
    <n v="46105"/>
    <s v="C-002-24-03-2026"/>
    <n v="46105"/>
    <m/>
    <m/>
    <m/>
    <m/>
    <m/>
    <n v="46105"/>
    <n v="46105"/>
    <s v="27-Mar-26 2PM"/>
    <s v="27-Mar-26"/>
    <s v="2PM"/>
    <x v="34"/>
    <n v="46105"/>
    <s v="Mr. Iftikhar Khan"/>
    <n v="46107"/>
    <x v="2"/>
    <x v="3"/>
    <x v="1"/>
    <x v="0"/>
    <s v="AOL. I’m Beenish Nauman I done my liver transplant in PKLI hospital. They discharged me on 19-03-2026 Almost two month she is visiting this hospital, yesterday on 22-03-26 she changed her liver discharge bag because bag was leaking and today 23-03-26 again we are here for change her bandage … I’m complaining about your security people on gate number 1 they are very miss behaving with my wife on gate. she showed them her MR card. They argued with her. that’s not nice, we are here for treatment not for being miss behaved, they don’t know how to talk with patient. kindly it is humble request, hire some educated people. This is a one off the best hospital in Pakistan we very appreciate all doctors and other staff, but I’m not satisfied we your security people. I’m sending this email on chief minister Maryam Nawaz as well."/>
    <s v="No Gap identified No evidence of misbehaviour was found as the patient and attendant arrived on holiday , the security guard asked about their purpose of visit,and whether they were new or registered patient upon which the attendant became angry and filed complaint."/>
    <s v="Not Required."/>
    <m/>
    <m/>
    <n v="1"/>
  </r>
  <r>
    <n v="67"/>
    <n v="2026"/>
    <x v="1"/>
    <n v="46108"/>
    <s v="C-001-27-03-2026"/>
    <n v="46108"/>
    <s v="M. Ameen"/>
    <n v="1149125"/>
    <s v="Ebad ur Rehman"/>
    <s v="0370-4548811"/>
    <s v="Vehari"/>
    <n v="46108"/>
    <n v="46108"/>
    <s v="4/1/2026 2pm"/>
    <s v="4/1/2026"/>
    <s v="2pm"/>
    <x v="3"/>
    <n v="46111"/>
    <s v="Mr. Umair"/>
    <s v="Received"/>
    <x v="2"/>
    <x v="47"/>
    <x v="1"/>
    <x v="1"/>
    <s v="We came in PKLI on 26-03-26 at gate no.9. Our token number was 1007. Doctor checked our patient. We were told that relevant doctor appointment will be available in July,26 or we can get executive clinic appointment in May 2026. This is too late. Poor management, not fair with patient's problems. Fair with money, and lot of patients passes away without proper treatment our patient couldn't get cure. Poor system."/>
    <s v="No Gap identified as the as the available appointments were communicated to the patients."/>
    <s v="Early appointment was adjusted with Dr. Khurram Anis."/>
    <m/>
    <s v="Y"/>
    <n v="1"/>
  </r>
  <r>
    <n v="68"/>
    <n v="2026"/>
    <x v="1"/>
    <n v="46108"/>
    <s v="C-002-27-03-2026"/>
    <n v="46108"/>
    <m/>
    <m/>
    <m/>
    <m/>
    <m/>
    <n v="46108"/>
    <n v="46108"/>
    <s v="4/1/2026 2pm"/>
    <s v="4/1/2026"/>
    <s v="2pm"/>
    <x v="35"/>
    <n v="46111"/>
    <s v="Mr. Qudoos/ Ms. Sana"/>
    <m/>
    <x v="5"/>
    <x v="48"/>
    <x v="2"/>
    <x v="0"/>
    <s v="I am currently under treatment at PKLI Hospital and underwent a transplant approximately one and a half years ago. Considering my current medical condition, I was admitted to the hospital around three to four months ago for the placement of a stent, which was scheduled to be performed in the Interventional Radiology (IR) Department. However, at that time, I was discharged with the explanation that the stent was not available and would be provided later. Unfortunately, to date, neither has the stent been provided nor has there been any practical progress in this regard. Due to this delay, my health condition is continuously deteriorating, and my blood pressure rises to dangerous levels. Medications were also prescribed by the doctor for this condition, but unfortunately, those medicines are also not available at the hospital. I therefore request you to kindly take immediate notice of this serious matter and instruct the concerned department to ensure the urgent provision of the stent and necessary medications so that my treatment can be completed in a timely manner."/>
    <m/>
    <m/>
    <m/>
    <m/>
    <n v="1"/>
  </r>
  <r>
    <n v="69"/>
    <n v="2026"/>
    <x v="1"/>
    <n v="46111"/>
    <s v="C-001-30-03-2026"/>
    <n v="46111"/>
    <m/>
    <m/>
    <s v="Abdul Quddus"/>
    <s v="0345-5826682"/>
    <s v="PKLI"/>
    <n v="46111"/>
    <n v="46112"/>
    <s v="7-Apr-26 2pm"/>
    <s v="7-Apr-26"/>
    <s v="2pm"/>
    <x v="36"/>
    <n v="46112"/>
    <s v="Mr. Asif"/>
    <n v="46122"/>
    <x v="0"/>
    <x v="49"/>
    <x v="3"/>
    <x v="1"/>
    <s v="Date of event: 25-03-2026, Time of event: 12:29Pm A patient came to CT scan for CT Guided mass, as patient was shifted to CT table for biopsy planning. Patient collapse suddenly after some time, multiple calls were made for Medical Emergency Code 3333, but it appeared on telephone screen &quot;CODE BLUE out of services&quot;. Which was a critical situation to handle such medical emergency. Then radiology department directly contacted medical code team on personal phone numbers. Medical emergency Staff reached afterward, and patient was reverted back then. Screen photo was also taken as proof for failure to contact to code blue services number. This was a high-level patient safety incident to be reported, and it should be solved on priority basis in order to avoid such situation in future."/>
    <m/>
    <m/>
    <m/>
    <m/>
    <n v="1"/>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5.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6.xml.rels><Relationships xmlns="http://schemas.openxmlformats.org/package/2006/relationships"><Relationship Type="http://schemas.openxmlformats.org/officeDocument/2006/relationships/pivotCacheDefinition" Target="/xl/pivotCache/pivotCacheDefinition1.xml" Id="rId1"/></Relationships>
</file>

<file path=xl/pivotTables/pivotTable1.xml><?xml version="1.0" encoding="utf-8"?>
<pivotTableDefinition xmlns:r="http://schemas.openxmlformats.org/officeDocument/2006/relationships" xmlns="http://schemas.openxmlformats.org/spreadsheetml/2006/main" name="PT_23_Harm" cacheId="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1" outlineData="1" compactData="0" published="0" gridDropZones="0" immersive="1" multipleFieldFilters="0" chartFormat="0" rowHeaderCaption="Harm" fieldListSortAscending="0" mdxSubqueries="0" applyNumberFormats="0" applyBorderFormats="0" applyFontFormats="0" applyPatternFormats="0" applyAlignmentFormats="0" applyWidthHeightFormats="0" r:id="rId1">
  <location ref="A53:B56" firstHeaderRow="1" firstDataRow="1" firstDataCol="1"/>
  <pivotFields count="30">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axis="axisRow"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s>
  <rowFields count="1">
    <field x="23"/>
  </rowFields>
  <rowItems count="3">
    <i t="data" r="0" i="0">
      <x v="0"/>
    </i>
    <i t="data" r="0" i="0">
      <x v="1"/>
    </i>
    <i t="grand" r="0" i="0"/>
  </rowItems>
  <colItems count="1">
    <i t="data" r="0" i="0"/>
  </colItems>
  <dataFields count="1">
    <dataField name="Records" fld="29" subtotal="count" showDataAs="normal" baseField="-1" baseItem="1048832"/>
  </dataFields>
  <pivotTableStyleInfo name="PivotStyleMedium9" showRowHeaders="1" showColHeaders="1" showRowStripes="1" showColStripes="0" showLastColumn="0"/>
</pivotTableDefinition>
</file>

<file path=xl/pivotTables/pivotTable2.xml><?xml version="1.0" encoding="utf-8"?>
<pivotTableDefinition xmlns:r="http://schemas.openxmlformats.org/officeDocument/2006/relationships" xmlns="http://schemas.openxmlformats.org/spreadsheetml/2006/main" name="PT_2_Month" cacheId="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1" outlineData="1" compactData="0" published="0" gridDropZones="0" immersive="1" multipleFieldFilters="0" chartFormat="0" rowHeaderCaption="Month" fieldListSortAscending="0" mdxSubqueries="0" applyNumberFormats="0" applyBorderFormats="0" applyFontFormats="0" applyPatternFormats="0" applyAlignmentFormats="0" applyWidthHeightFormats="0" r:id="rId1">
  <location ref="A59:B63" firstHeaderRow="1" firstDataRow="1" firstDataCol="1"/>
  <pivotFields count="30">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axis="axisRow" showDropDowns="1" compact="1" outline="1" subtotalTop="1" dragToRow="1" dragToCol="1" dragToPage="1" dragToData="1" dragOff="1" showAll="0" topAutoShow="1" itemPageCount="10" sortType="manual" defaultSubtotal="1">
      <items count="4">
        <item t="data" sd="1" x="0"/>
        <item t="data" sd="1" x="1"/>
        <item t="data" sd="1" x="2"/>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s>
  <rowFields count="1">
    <field x="2"/>
  </rowFields>
  <rowItems count="4">
    <i t="data" r="0" i="0">
      <x v="0"/>
    </i>
    <i t="data" r="0" i="0">
      <x v="1"/>
    </i>
    <i t="data" r="0" i="0">
      <x v="2"/>
    </i>
    <i t="grand" r="0" i="0"/>
  </rowItems>
  <colItems count="1">
    <i t="data" r="0" i="0"/>
  </colItems>
  <dataFields count="1">
    <dataField name="Records" fld="29" subtotal="count" showDataAs="normal" baseField="-1" baseItem="1048832"/>
  </dataFields>
  <pivotTableStyleInfo name="PivotStyleMedium9" showRowHeaders="1" showColHeaders="1" showRowStripes="1" showColStripes="0" showLastColumn="0"/>
</pivotTableDefinition>
</file>

<file path=xl/pivotTables/pivotTable3.xml><?xml version="1.0" encoding="utf-8"?>
<pivotTableDefinition xmlns:r="http://schemas.openxmlformats.org/officeDocument/2006/relationships" xmlns="http://schemas.openxmlformats.org/spreadsheetml/2006/main" name="PT_22_Severity" cacheId="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1" outlineData="1" compactData="0" published="0" gridDropZones="0" immersive="1" multipleFieldFilters="0" chartFormat="0" rowHeaderCaption="Severity" fieldListSortAscending="0" mdxSubqueries="0" applyNumberFormats="0" applyBorderFormats="0" applyFontFormats="0" applyPatternFormats="0" applyAlignmentFormats="0" applyWidthHeightFormats="0" r:id="rId1">
  <location ref="A66:B71" firstHeaderRow="1" firstDataRow="1" firstDataCol="1"/>
  <pivotFields count="30">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axis="axisRow" showDropDowns="1" compact="1" outline="1" subtotalTop="1" dragToRow="1" dragToCol="1" dragToPage="1" dragToData="1" dragOff="1" showAll="0" topAutoShow="1" itemPageCount="10" sortType="manual" defaultSubtotal="1">
      <items count="5">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s>
  <rowFields count="1">
    <field x="22"/>
  </rowFields>
  <rowItems count="5">
    <i t="data" r="0" i="0">
      <x v="0"/>
    </i>
    <i t="data" r="0" i="0">
      <x v="1"/>
    </i>
    <i t="data" r="0" i="0">
      <x v="2"/>
    </i>
    <i t="data" r="0" i="0">
      <x v="3"/>
    </i>
    <i t="grand" r="0" i="0"/>
  </rowItems>
  <colItems count="1">
    <i t="data" r="0" i="0"/>
  </colItems>
  <dataFields count="1">
    <dataField name="Records" fld="29" subtotal="count" showDataAs="normal" baseField="-1" baseItem="1048832"/>
  </dataFields>
  <pivotTableStyleInfo name="PivotStyleMedium9" showRowHeaders="1" showColHeaders="1" showRowStripes="1" showColStripes="0" showLastColumn="0"/>
</pivotTableDefinition>
</file>

<file path=xl/pivotTables/pivotTable4.xml><?xml version="1.0" encoding="utf-8"?>
<pivotTableDefinition xmlns:r="http://schemas.openxmlformats.org/officeDocument/2006/relationships" xmlns="http://schemas.openxmlformats.org/spreadsheetml/2006/main" name="PT_20_Relevant_Directorate" cacheId="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1" outlineData="1" compactData="0" published="0" gridDropZones="0" immersive="1" multipleFieldFilters="0" chartFormat="0" rowHeaderCaption="Relevant Directorate" fieldListSortAscending="0" mdxSubqueries="0" applyNumberFormats="0" applyBorderFormats="0" applyFontFormats="0" applyPatternFormats="0" applyAlignmentFormats="0" applyWidthHeightFormats="0" r:id="rId1">
  <location ref="A74:B83" firstHeaderRow="1" firstDataRow="1" firstDataCol="1"/>
  <pivotFields count="30">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axis="axisRow" showDropDowns="1" compact="1" outline="1" subtotalTop="1" dragToRow="1" dragToCol="1" dragToPage="1" dragToData="1" dragOff="1" showAll="0" topAutoShow="1" itemPageCount="10" sortType="manual" defaultSubtotal="1">
      <items count="9">
        <item t="data" sd="1" x="0"/>
        <item t="data"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s>
  <rowFields count="1">
    <field x="20"/>
  </rowFields>
  <rowItems count="9">
    <i t="data" r="0" i="0">
      <x v="0"/>
    </i>
    <i t="data" r="0" i="0">
      <x v="1"/>
    </i>
    <i t="data" r="0" i="0">
      <x v="2"/>
    </i>
    <i t="data" r="0" i="0">
      <x v="3"/>
    </i>
    <i t="data" r="0" i="0">
      <x v="4"/>
    </i>
    <i t="data" r="0" i="0">
      <x v="5"/>
    </i>
    <i t="data" r="0" i="0">
      <x v="6"/>
    </i>
    <i t="data" r="0" i="0">
      <x v="7"/>
    </i>
    <i t="grand" r="0" i="0"/>
  </rowItems>
  <colItems count="1">
    <i t="data" r="0" i="0"/>
  </colItems>
  <dataFields count="1">
    <dataField name="Records" fld="29" subtotal="count" showDataAs="normal" baseField="-1" baseItem="1048832"/>
  </dataFields>
  <pivotTableStyleInfo name="PivotStyleMedium9" showRowHeaders="1" showColHeaders="1" showRowStripes="1" showColStripes="0" showLastColumn="0"/>
</pivotTableDefinition>
</file>

<file path=xl/pivotTables/pivotTable5.xml><?xml version="1.0" encoding="utf-8"?>
<pivotTableDefinition xmlns:r="http://schemas.openxmlformats.org/officeDocument/2006/relationships" xmlns="http://schemas.openxmlformats.org/spreadsheetml/2006/main" name="PT_16_Department" cacheId="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1" outlineData="1" compactData="0" published="0" gridDropZones="0" immersive="1" multipleFieldFilters="0" chartFormat="0" rowHeaderCaption="Department" fieldListSortAscending="0" mdxSubqueries="0" applyNumberFormats="0" applyBorderFormats="0" applyFontFormats="0" applyPatternFormats="0" applyAlignmentFormats="0" applyWidthHeightFormats="0" r:id="rId1">
  <location ref="A86:B124" firstHeaderRow="1" firstDataRow="1" firstDataCol="1"/>
  <pivotFields count="30">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axis="axisRow" showDropDowns="1" compact="1" outline="1" subtotalTop="1" dragToRow="1" dragToCol="1" dragToPage="1" dragToData="1" dragOff="1" showAll="0" topAutoShow="1" itemPageCount="10" sortType="manual" defaultSubtotal="1">
      <items count="38">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s>
  <rowFields count="1">
    <field x="16"/>
  </rowFields>
  <rowItems count="38">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29"/>
    </i>
    <i t="data" r="0" i="0">
      <x v="30"/>
    </i>
    <i t="data" r="0" i="0">
      <x v="31"/>
    </i>
    <i t="data" r="0" i="0">
      <x v="32"/>
    </i>
    <i t="data" r="0" i="0">
      <x v="33"/>
    </i>
    <i t="data" r="0" i="0">
      <x v="34"/>
    </i>
    <i t="data" r="0" i="0">
      <x v="35"/>
    </i>
    <i t="data" r="0" i="0">
      <x v="36"/>
    </i>
    <i t="grand" r="0" i="0"/>
  </rowItems>
  <colItems count="1">
    <i t="data" r="0" i="0"/>
  </colItems>
  <dataFields count="1">
    <dataField name="Records" fld="29" subtotal="count" showDataAs="normal" baseField="-1" baseItem="1048832"/>
  </dataFields>
  <pivotTableStyleInfo name="PivotStyleMedium9" showRowHeaders="1" showColHeaders="1" showRowStripes="1" showColStripes="0" showLastColumn="0"/>
</pivotTableDefinition>
</file>

<file path=xl/pivotTables/pivotTable6.xml><?xml version="1.0" encoding="utf-8"?>
<pivotTableDefinition xmlns:r="http://schemas.openxmlformats.org/officeDocument/2006/relationships" xmlns="http://schemas.openxmlformats.org/spreadsheetml/2006/main" name="PT_21_Affinity" cacheId="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0" outline="1" outlineData="1" compactData="0" published="0" gridDropZones="0" immersive="1" multipleFieldFilters="0" chartFormat="0" rowHeaderCaption="Affinity" fieldListSortAscending="0" mdxSubqueries="0" applyNumberFormats="0" applyBorderFormats="0" applyFontFormats="0" applyPatternFormats="0" applyAlignmentFormats="0" applyWidthHeightFormats="0" r:id="rId1">
  <location ref="A127:B178" firstHeaderRow="1" firstDataRow="1" firstDataCol="1"/>
  <pivotFields count="30">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axis="axisRow" showDropDowns="1" compact="1" outline="1" subtotalTop="1" dragToRow="1" dragToCol="1" dragToPage="1" dragToData="1" dragOff="1" showAll="0" topAutoShow="1" itemPageCount="10" sortType="manual" defaultSubtotal="1">
      <items count="51">
        <item t="data" sd="1" x="0"/>
        <item t="data" sd="1" x="1"/>
        <item t="data" sd="1" x="2"/>
        <item t="data" sd="1" x="3"/>
        <item t="data" sd="1" x="4"/>
        <item t="data" sd="1" x="5"/>
        <item t="data" sd="1" x="6"/>
        <item t="data" sd="1" x="7"/>
        <item t="data" sd="1" x="8"/>
        <item t="data" sd="1" x="9"/>
        <item t="data" sd="1" x="10"/>
        <item t="data" sd="1" x="11"/>
        <item t="data" sd="1" x="12"/>
        <item t="data" sd="1" x="13"/>
        <item t="data" sd="1" x="14"/>
        <item t="data" sd="1" x="15"/>
        <item t="data" sd="1" x="16"/>
        <item t="data" sd="1" x="17"/>
        <item t="data" sd="1" x="18"/>
        <item t="data" sd="1" x="19"/>
        <item t="data" sd="1" x="20"/>
        <item t="data" sd="1" x="21"/>
        <item t="data" sd="1" x="22"/>
        <item t="data" sd="1" x="23"/>
        <item t="data" sd="1" x="24"/>
        <item t="data" sd="1" x="25"/>
        <item t="data" sd="1" x="26"/>
        <item t="data" sd="1" x="27"/>
        <item t="data" sd="1" x="28"/>
        <item t="data" sd="1" x="29"/>
        <item t="data" sd="1" x="30"/>
        <item t="data" sd="1" x="31"/>
        <item t="data" sd="1" x="32"/>
        <item t="data" sd="1" x="33"/>
        <item t="data" sd="1" x="34"/>
        <item t="data" sd="1" x="35"/>
        <item t="data" sd="1" x="36"/>
        <item t="data" sd="1" x="37"/>
        <item t="data" sd="1" x="38"/>
        <item t="data" sd="1" x="39"/>
        <item t="data" sd="1" x="40"/>
        <item t="data" sd="1" x="41"/>
        <item t="data" sd="1" x="42"/>
        <item t="data" sd="1" x="43"/>
        <item t="data" sd="1" x="44"/>
        <item t="data" sd="1" x="45"/>
        <item t="data" sd="1" x="46"/>
        <item t="data" sd="1" x="47"/>
        <item t="data" sd="1" x="48"/>
        <item t="data" sd="1" x="49"/>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 showDropDowns="1" compact="1" outline="1" subtotalTop="1" dragToRow="1" dragToCol="1" dragToPage="1" dragToData="1" dragOff="1" showAll="0" topAutoShow="1" itemPageCount="10" sortType="manual" defaultSubtotal="1">
      <items count="1">
        <item t="default" sd="1"/>
      </items>
    </pivotField>
  </pivotFields>
  <rowFields count="1">
    <field x="21"/>
  </rowFields>
  <rowItems count="51">
    <i t="data" r="0" i="0">
      <x v="0"/>
    </i>
    <i t="data" r="0" i="0">
      <x v="1"/>
    </i>
    <i t="data" r="0" i="0">
      <x v="2"/>
    </i>
    <i t="data" r="0" i="0">
      <x v="3"/>
    </i>
    <i t="data" r="0" i="0">
      <x v="4"/>
    </i>
    <i t="data" r="0" i="0">
      <x v="5"/>
    </i>
    <i t="data" r="0" i="0">
      <x v="6"/>
    </i>
    <i t="data" r="0" i="0">
      <x v="7"/>
    </i>
    <i t="data" r="0" i="0">
      <x v="8"/>
    </i>
    <i t="data" r="0" i="0">
      <x v="9"/>
    </i>
    <i t="data" r="0" i="0">
      <x v="10"/>
    </i>
    <i t="data" r="0" i="0">
      <x v="11"/>
    </i>
    <i t="data" r="0" i="0">
      <x v="12"/>
    </i>
    <i t="data" r="0" i="0">
      <x v="13"/>
    </i>
    <i t="data" r="0" i="0">
      <x v="14"/>
    </i>
    <i t="data" r="0" i="0">
      <x v="15"/>
    </i>
    <i t="data" r="0" i="0">
      <x v="16"/>
    </i>
    <i t="data" r="0" i="0">
      <x v="17"/>
    </i>
    <i t="data" r="0" i="0">
      <x v="18"/>
    </i>
    <i t="data" r="0" i="0">
      <x v="19"/>
    </i>
    <i t="data" r="0" i="0">
      <x v="20"/>
    </i>
    <i t="data" r="0" i="0">
      <x v="21"/>
    </i>
    <i t="data" r="0" i="0">
      <x v="22"/>
    </i>
    <i t="data" r="0" i="0">
      <x v="23"/>
    </i>
    <i t="data" r="0" i="0">
      <x v="24"/>
    </i>
    <i t="data" r="0" i="0">
      <x v="25"/>
    </i>
    <i t="data" r="0" i="0">
      <x v="26"/>
    </i>
    <i t="data" r="0" i="0">
      <x v="27"/>
    </i>
    <i t="data" r="0" i="0">
      <x v="28"/>
    </i>
    <i t="data" r="0" i="0">
      <x v="29"/>
    </i>
    <i t="data" r="0" i="0">
      <x v="30"/>
    </i>
    <i t="data" r="0" i="0">
      <x v="31"/>
    </i>
    <i t="data" r="0" i="0">
      <x v="32"/>
    </i>
    <i t="data" r="0" i="0">
      <x v="33"/>
    </i>
    <i t="data" r="0" i="0">
      <x v="34"/>
    </i>
    <i t="data" r="0" i="0">
      <x v="35"/>
    </i>
    <i t="data" r="0" i="0">
      <x v="36"/>
    </i>
    <i t="data" r="0" i="0">
      <x v="37"/>
    </i>
    <i t="data" r="0" i="0">
      <x v="38"/>
    </i>
    <i t="data" r="0" i="0">
      <x v="39"/>
    </i>
    <i t="data" r="0" i="0">
      <x v="40"/>
    </i>
    <i t="data" r="0" i="0">
      <x v="41"/>
    </i>
    <i t="data" r="0" i="0">
      <x v="42"/>
    </i>
    <i t="data" r="0" i="0">
      <x v="43"/>
    </i>
    <i t="data" r="0" i="0">
      <x v="44"/>
    </i>
    <i t="data" r="0" i="0">
      <x v="45"/>
    </i>
    <i t="data" r="0" i="0">
      <x v="46"/>
    </i>
    <i t="data" r="0" i="0">
      <x v="47"/>
    </i>
    <i t="data" r="0" i="0">
      <x v="48"/>
    </i>
    <i t="data" r="0" i="0">
      <x v="49"/>
    </i>
    <i t="grand" r="0" i="0"/>
  </rowItems>
  <colItems count="1">
    <i t="data" r="0" i="0"/>
  </colItems>
  <dataFields count="1">
    <dataField name="Records" fld="29" subtotal="count" showDataAs="normal" baseField="-1" baseItem="1048832"/>
  </dataFields>
  <pivotTableStyleInfo name="PivotStyleMedium9" showRowHeaders="1" showColHeaders="1" showRowStripes="1" showColStripes="0" showLastColumn="0"/>
</pivotTableDefinition>
</file>

<file path=xl/tables/table1.xml><?xml version="1.0" encoding="utf-8"?>
<table xmlns="http://schemas.openxmlformats.org/spreadsheetml/2006/main" id="1" name="SourceData" displayName="SourceData" ref="A1:AD70" headerRowCount="1">
  <autoFilter ref="A1:AD70"/>
  <tableColumns count="30">
    <tableColumn id="1" name="Sr. no."/>
    <tableColumn id="2" name="Year"/>
    <tableColumn id="3" name="Month"/>
    <tableColumn id="4" name="Column3"/>
    <tableColumn id="5" name="Complaint No."/>
    <tableColumn id="6" name="Acknowledgement Call Made to Complainant (Date)"/>
    <tableColumn id="7" name="Patient Name"/>
    <tableColumn id="8" name="MRN"/>
    <tableColumn id="9" name="Complainant Name"/>
    <tableColumn id="10" name="Contact no."/>
    <tableColumn id="11" name="Address"/>
    <tableColumn id="12" name="Initial Complaint Submitted to Director Quality (Date)"/>
    <tableColumn id="13" name="Marked by Director Quality (Date)"/>
    <tableColumn id="14" name="Response Deadline for Department (set by Director Quality)"/>
    <tableColumn id="15" name="Due date for response"/>
    <tableColumn id="16" name="Due time for respons"/>
    <tableColumn id="17" name="Department"/>
    <tableColumn id="18" name="Forwarded for Departmental Response (Date)"/>
    <tableColumn id="19" name="Forwarded for Departmental Response to (Name)"/>
    <tableColumn id="20" name="Departmental Response Received (Date)"/>
    <tableColumn id="21" name="Relevant Directorate"/>
    <tableColumn id="22" name="Affinity"/>
    <tableColumn id="23" name="Severity"/>
    <tableColumn id="24" name="Harm"/>
    <tableColumn id="25" name="Situation/ Background"/>
    <tableColumn id="26" name="Tasks/ Problems / Gaps identified"/>
    <tableColumn id="27" name="Action Plan"/>
    <tableColumn id="28" name="Result/ Evidence of compliance"/>
    <tableColumn id="29" name="Complaint Closed Y / N"/>
    <tableColumn id="30" name="__Records__"/>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pivotTable" Target="/xl/pivotTables/pivotTable1.xml" Id="rId2"/><Relationship Type="http://schemas.openxmlformats.org/officeDocument/2006/relationships/pivotTable" Target="/xl/pivotTables/pivotTable2.xml" Id="rId3"/><Relationship Type="http://schemas.openxmlformats.org/officeDocument/2006/relationships/pivotTable" Target="/xl/pivotTables/pivotTable3.xml" Id="rId4"/><Relationship Type="http://schemas.openxmlformats.org/officeDocument/2006/relationships/pivotTable" Target="/xl/pivotTables/pivotTable4.xml" Id="rId5"/><Relationship Type="http://schemas.openxmlformats.org/officeDocument/2006/relationships/pivotTable" Target="/xl/pivotTables/pivotTable5.xml" Id="rId6"/><Relationship Type="http://schemas.openxmlformats.org/officeDocument/2006/relationships/pivotTable" Target="/xl/pivotTables/pivotTable6.xml" Id="rId7"/></Relationships>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X126"/>
  <sheetViews>
    <sheetView showGridLines="0" zoomScale="85" workbookViewId="0">
      <selection activeCell="A1" sqref="A1"/>
    </sheetView>
  </sheetViews>
  <sheetFormatPr baseColWidth="8" defaultRowHeight="15"/>
  <cols>
    <col width="28" customWidth="1" min="1" max="1"/>
    <col width="16" customWidth="1" min="2" max="2"/>
    <col width="8.5" customWidth="1" min="3" max="3"/>
    <col width="8.5" customWidth="1" min="4" max="4"/>
    <col width="8.5" customWidth="1" min="5" max="5"/>
    <col width="8.5" customWidth="1" min="6" max="6"/>
    <col width="8.5" customWidth="1" min="7" max="7"/>
    <col width="8.5" customWidth="1" min="8" max="8"/>
    <col width="8.5" customWidth="1" min="9" max="9"/>
    <col width="8.5" customWidth="1" min="10" max="10"/>
    <col width="8.5" customWidth="1" min="11" max="11"/>
    <col width="8.5" customWidth="1" min="12" max="12"/>
    <col width="8.5" customWidth="1" min="13" max="13"/>
    <col width="8.5" customWidth="1" min="14" max="14"/>
    <col width="8.5" customWidth="1" min="15" max="15"/>
    <col width="8.5" customWidth="1" min="16" max="16"/>
    <col width="8.5" customWidth="1" min="17" max="17"/>
    <col width="8.5" customWidth="1" min="18" max="18"/>
    <col width="8.5" customWidth="1" min="19" max="19"/>
    <col width="8.5" customWidth="1" min="20" max="20"/>
    <col width="8.5" customWidth="1" min="21" max="21"/>
    <col width="8.5" customWidth="1" min="22" max="22"/>
    <col width="8.5" customWidth="1" min="23" max="23"/>
    <col width="8.5" customWidth="1" min="24" max="24"/>
  </cols>
  <sheetData>
    <row r="1" ht="28" customHeight="1">
      <c r="A1" s="1" t="inlineStr">
        <is>
          <t>Complaint Management Dashboard</t>
        </is>
      </c>
      <c r="S1" s="3" t="inlineStr">
        <is>
          <t>OMAC Developers · S M Baqir</t>
        </is>
      </c>
    </row>
    <row r="2" ht="28" customHeight="1">
      <c r="S2" s="4" t="inlineStr">
        <is>
          <t>Auto Pivot Dashboard</t>
        </is>
      </c>
    </row>
    <row r="3" ht="18" customHeight="1">
      <c r="A3" s="5" t="inlineStr">
        <is>
          <t>Complaints Register  |  69 records</t>
        </is>
      </c>
    </row>
    <row r="5" ht="22" customHeight="1">
      <c r="A5" s="6" t="inlineStr">
        <is>
          <t>TOTAL RECORDS</t>
        </is>
      </c>
      <c r="B5" s="20" t="n"/>
      <c r="C5" s="21" t="n"/>
      <c r="D5" s="6" t="inlineStr">
        <is>
          <t>TOP HARM</t>
        </is>
      </c>
      <c r="E5" s="20" t="n"/>
      <c r="F5" s="21" t="n"/>
      <c r="G5" s="6" t="inlineStr">
        <is>
          <t>RECORDS (HARM TOP)</t>
        </is>
      </c>
      <c r="H5" s="20" t="n"/>
      <c r="I5" s="21" t="n"/>
      <c r="J5" s="6" t="inlineStr">
        <is>
          <t>TOP MONTH</t>
        </is>
      </c>
      <c r="K5" s="20" t="n"/>
      <c r="L5" s="21" t="n"/>
      <c r="M5" s="6" t="inlineStr">
        <is>
          <t>RECORDS (MONTH TOP)</t>
        </is>
      </c>
      <c r="N5" s="20" t="n"/>
      <c r="O5" s="21" t="n"/>
      <c r="P5" s="6" t="inlineStr">
        <is>
          <t>HARM CATEGORIES</t>
        </is>
      </c>
      <c r="Q5" s="20" t="n"/>
      <c r="R5" s="21" t="n"/>
    </row>
    <row r="6" ht="22" customHeight="1">
      <c r="A6" s="8">
        <f>B56</f>
        <v/>
      </c>
      <c r="B6" s="22" t="n"/>
      <c r="C6" s="23" t="n"/>
      <c r="D6" s="10">
        <f>A54</f>
        <v/>
      </c>
      <c r="E6" s="22" t="n"/>
      <c r="F6" s="23" t="n"/>
      <c r="G6" s="11">
        <f>B54</f>
        <v/>
      </c>
      <c r="H6" s="22" t="n"/>
      <c r="I6" s="23" t="n"/>
      <c r="J6" s="12">
        <f>A60</f>
        <v/>
      </c>
      <c r="K6" s="22" t="n"/>
      <c r="L6" s="23" t="n"/>
      <c r="M6" s="13">
        <f>B60</f>
        <v/>
      </c>
      <c r="N6" s="22" t="n"/>
      <c r="O6" s="23" t="n"/>
      <c r="P6" s="14">
        <f>COUNTA(A54:A55)</f>
        <v/>
      </c>
      <c r="Q6" s="22" t="n"/>
      <c r="R6" s="23" t="n"/>
    </row>
    <row r="7" ht="22" customHeight="1">
      <c r="A7" s="24" t="n"/>
      <c r="B7" s="25" t="n"/>
      <c r="C7" s="26" t="n"/>
      <c r="D7" s="24" t="n"/>
      <c r="E7" s="25" t="n"/>
      <c r="F7" s="26" t="n"/>
      <c r="G7" s="24" t="n"/>
      <c r="H7" s="25" t="n"/>
      <c r="I7" s="26" t="n"/>
      <c r="J7" s="24" t="n"/>
      <c r="K7" s="25" t="n"/>
      <c r="L7" s="26" t="n"/>
      <c r="M7" s="24" t="n"/>
      <c r="N7" s="25" t="n"/>
      <c r="O7" s="26" t="n"/>
      <c r="P7" s="24" t="n"/>
      <c r="Q7" s="25" t="n"/>
      <c r="R7" s="26" t="n"/>
    </row>
    <row r="8" ht="22" customHeight="1">
      <c r="A8" s="9" t="n"/>
      <c r="B8" s="9" t="n"/>
      <c r="C8" s="9" t="n"/>
      <c r="D8" s="9" t="n"/>
      <c r="E8" s="9" t="n"/>
      <c r="F8" s="9" t="n"/>
      <c r="G8" s="9" t="n"/>
      <c r="H8" s="9" t="n"/>
      <c r="I8" s="9" t="n"/>
      <c r="J8" s="9" t="n"/>
      <c r="K8" s="9" t="n"/>
      <c r="L8" s="9" t="n"/>
      <c r="M8" s="9" t="n"/>
      <c r="N8" s="9" t="n"/>
      <c r="O8" s="9" t="n"/>
      <c r="P8" s="9" t="n"/>
      <c r="Q8" s="9" t="n"/>
      <c r="R8" s="9" t="n"/>
    </row>
    <row r="50" ht="22" customHeight="1">
      <c r="A50" s="15" t="inlineStr">
        <is>
          <t>▼  Live PivotTables (the engine behind every chart and KPI above).  Click any cell below → Insert → Slicer to add interactive filters — then Report Connections → select all PivotTables to cross-filter everything on this sheet.</t>
        </is>
      </c>
    </row>
    <row r="52">
      <c r="A52" s="17" t="inlineStr">
        <is>
          <t>Harm</t>
        </is>
      </c>
    </row>
    <row r="58">
      <c r="A58" s="17" t="inlineStr">
        <is>
          <t>Month</t>
        </is>
      </c>
    </row>
    <row r="65">
      <c r="A65" s="17" t="inlineStr">
        <is>
          <t>Severity</t>
        </is>
      </c>
    </row>
    <row r="73">
      <c r="A73" s="17" t="inlineStr">
        <is>
          <t>Relevant Directorate</t>
        </is>
      </c>
    </row>
    <row r="85">
      <c r="A85" s="17" t="inlineStr">
        <is>
          <t>Department</t>
        </is>
      </c>
    </row>
    <row r="126">
      <c r="A126" s="17" t="inlineStr">
        <is>
          <t>Affinity</t>
        </is>
      </c>
    </row>
  </sheetData>
  <mergeCells count="17">
    <mergeCell ref="S2:X2"/>
    <mergeCell ref="A3:X3"/>
    <mergeCell ref="G6:I7"/>
    <mergeCell ref="D6:F7"/>
    <mergeCell ref="A6:C7"/>
    <mergeCell ref="J5:L5"/>
    <mergeCell ref="D5:F5"/>
    <mergeCell ref="A5:C5"/>
    <mergeCell ref="G5:I5"/>
    <mergeCell ref="S1:X1"/>
    <mergeCell ref="J6:L7"/>
    <mergeCell ref="P5:R5"/>
    <mergeCell ref="A50:X50"/>
    <mergeCell ref="M5:O5"/>
    <mergeCell ref="A1:R2"/>
    <mergeCell ref="M6:O7"/>
    <mergeCell ref="P6:R7"/>
  </mergeCells>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D70"/>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2" customWidth="1" min="6" max="6"/>
    <col width="14" customWidth="1" min="7" max="7"/>
    <col width="14" customWidth="1" min="8" max="8"/>
    <col width="22" customWidth="1" min="9" max="9"/>
    <col width="14" customWidth="1" min="10" max="10"/>
    <col width="14" customWidth="1" min="11" max="11"/>
    <col width="22" customWidth="1" min="12" max="12"/>
    <col width="22" customWidth="1" min="13" max="13"/>
    <col width="22" customWidth="1" min="14" max="14"/>
    <col width="22" customWidth="1" min="15" max="15"/>
    <col width="22" customWidth="1" min="16" max="16"/>
    <col width="14" customWidth="1" min="17" max="17"/>
    <col width="22" customWidth="1" min="18" max="18"/>
    <col width="22" customWidth="1" min="19" max="19"/>
    <col width="22" customWidth="1" min="20" max="20"/>
    <col width="22" customWidth="1" min="21" max="21"/>
    <col width="14" customWidth="1" min="22" max="22"/>
    <col width="14" customWidth="1" min="23" max="23"/>
    <col width="14" customWidth="1" min="24" max="24"/>
    <col width="22" customWidth="1" min="25" max="25"/>
    <col width="22" customWidth="1" min="26" max="26"/>
    <col width="14" customWidth="1" min="27" max="27"/>
    <col width="22" customWidth="1" min="28" max="28"/>
    <col width="22" customWidth="1" min="29" max="29"/>
    <col hidden="1" width="14" customWidth="1" min="30" max="30"/>
  </cols>
  <sheetData>
    <row r="1">
      <c r="A1" s="18" t="inlineStr">
        <is>
          <t>Sr. no.</t>
        </is>
      </c>
      <c r="B1" s="18" t="inlineStr">
        <is>
          <t>Year</t>
        </is>
      </c>
      <c r="C1" s="18" t="inlineStr">
        <is>
          <t>Month</t>
        </is>
      </c>
      <c r="D1" s="18" t="inlineStr">
        <is>
          <t>Column3</t>
        </is>
      </c>
      <c r="E1" s="18" t="inlineStr">
        <is>
          <t>Complaint No.</t>
        </is>
      </c>
      <c r="F1" s="18" t="inlineStr">
        <is>
          <t>Acknowledgement Call Made to Complainant (Date)</t>
        </is>
      </c>
      <c r="G1" s="18" t="inlineStr">
        <is>
          <t>Patient Name</t>
        </is>
      </c>
      <c r="H1" s="18" t="inlineStr">
        <is>
          <t>MRN</t>
        </is>
      </c>
      <c r="I1" s="18" t="inlineStr">
        <is>
          <t>Complainant Name</t>
        </is>
      </c>
      <c r="J1" s="18" t="inlineStr">
        <is>
          <t>Contact no.</t>
        </is>
      </c>
      <c r="K1" s="18" t="inlineStr">
        <is>
          <t>Address</t>
        </is>
      </c>
      <c r="L1" s="18" t="inlineStr">
        <is>
          <t>Initial Complaint Submitted to Director Quality (Date)</t>
        </is>
      </c>
      <c r="M1" s="18" t="inlineStr">
        <is>
          <t>Marked by Director Quality (Date)</t>
        </is>
      </c>
      <c r="N1" s="18" t="inlineStr">
        <is>
          <t>Response Deadline for Department (set by Director Quality)</t>
        </is>
      </c>
      <c r="O1" s="18" t="inlineStr">
        <is>
          <t>Due date for response</t>
        </is>
      </c>
      <c r="P1" s="18" t="inlineStr">
        <is>
          <t>Due time for respons</t>
        </is>
      </c>
      <c r="Q1" s="18" t="inlineStr">
        <is>
          <t>Department</t>
        </is>
      </c>
      <c r="R1" s="18" t="inlineStr">
        <is>
          <t>Forwarded for Departmental Response (Date)</t>
        </is>
      </c>
      <c r="S1" s="18" t="inlineStr">
        <is>
          <t>Forwarded for Departmental Response to (Name)</t>
        </is>
      </c>
      <c r="T1" s="18" t="inlineStr">
        <is>
          <t>Departmental Response Received (Date)</t>
        </is>
      </c>
      <c r="U1" s="18" t="inlineStr">
        <is>
          <t>Relevant Directorate</t>
        </is>
      </c>
      <c r="V1" s="18" t="inlineStr">
        <is>
          <t>Affinity</t>
        </is>
      </c>
      <c r="W1" s="18" t="inlineStr">
        <is>
          <t>Severity</t>
        </is>
      </c>
      <c r="X1" s="18" t="inlineStr">
        <is>
          <t>Harm</t>
        </is>
      </c>
      <c r="Y1" s="18" t="inlineStr">
        <is>
          <t>Situation/ Background</t>
        </is>
      </c>
      <c r="Z1" s="18" t="inlineStr">
        <is>
          <t>Tasks/ Problems / Gaps identified</t>
        </is>
      </c>
      <c r="AA1" s="18" t="inlineStr">
        <is>
          <t>Action Plan</t>
        </is>
      </c>
      <c r="AB1" s="18" t="inlineStr">
        <is>
          <t>Result/ Evidence of compliance</t>
        </is>
      </c>
      <c r="AC1" s="18" t="inlineStr">
        <is>
          <t>Complaint Closed Y / N</t>
        </is>
      </c>
      <c r="AD1" s="18" t="inlineStr">
        <is>
          <t>__Records__</t>
        </is>
      </c>
    </row>
    <row r="2">
      <c r="A2" s="19" t="n">
        <v>1</v>
      </c>
      <c r="B2" s="19" t="n">
        <v>2026</v>
      </c>
      <c r="C2" s="19" t="inlineStr">
        <is>
          <t>January</t>
        </is>
      </c>
      <c r="D2" s="19" t="n">
        <v>46023</v>
      </c>
      <c r="E2" s="19" t="inlineStr">
        <is>
          <t>C-001-01-01-2026</t>
        </is>
      </c>
      <c r="F2" s="19" t="n"/>
      <c r="G2" s="19" t="inlineStr">
        <is>
          <t>Shagufta Begum</t>
        </is>
      </c>
      <c r="H2" s="19" t="n">
        <v>1116419</v>
      </c>
      <c r="I2" s="19" t="inlineStr">
        <is>
          <t>AIsha</t>
        </is>
      </c>
      <c r="J2" s="19" t="inlineStr">
        <is>
          <t>0324-4202964</t>
        </is>
      </c>
      <c r="K2" s="19" t="inlineStr">
        <is>
          <t>Lahore</t>
        </is>
      </c>
      <c r="L2" s="19" t="n">
        <v>46023</v>
      </c>
      <c r="M2" s="19" t="n">
        <v>46023</v>
      </c>
      <c r="N2" s="19" t="inlineStr">
        <is>
          <t>05-Jan-26 4 pm</t>
        </is>
      </c>
      <c r="O2" s="19" t="inlineStr">
        <is>
          <t>05-Jan-26</t>
        </is>
      </c>
      <c r="P2" s="19" t="inlineStr">
        <is>
          <t>4 pm</t>
        </is>
      </c>
      <c r="Q2" s="19" t="inlineStr">
        <is>
          <t>Administration Radiology</t>
        </is>
      </c>
      <c r="R2" s="19" t="n">
        <v>46024</v>
      </c>
      <c r="S2" s="19" t="inlineStr">
        <is>
          <t>Omer Aleem Mr. Husnain</t>
        </is>
      </c>
      <c r="T2" s="19" t="inlineStr">
        <is>
          <t>08-Jan-26</t>
        </is>
      </c>
      <c r="U2" s="19" t="inlineStr">
        <is>
          <t>Hospital Directorate</t>
        </is>
      </c>
      <c r="V2" s="19" t="inlineStr">
        <is>
          <t>Wheelchair Unavailability</t>
        </is>
      </c>
      <c r="W2" s="19" t="inlineStr">
        <is>
          <t>Moderate</t>
        </is>
      </c>
      <c r="X2" s="19" t="inlineStr">
        <is>
          <t>Yes</t>
        </is>
      </c>
      <c r="Y2" s="19" t="inlineStr">
        <is>
          <t>My mother was in critical condition and we have to revise the ct scan , she hardly came out from home in the frosting cool weather and we couldn't find a proper wheelchair for her , there were no pedals on it and with swollen legs she kept her legs lifted. During scan payment n process the staff were extremely rude and not willing to guide patients. Then they refused to give us ct scan cd . The most pathetic hospital I have ever visited. Still we don't know has dr. Watched the cd or not . Extreme mis managed and weak system is there. I will never recommend it to anyone. No one is here to help or guide accurately. Staff is Just coming on duty and spending time there in pkli</t>
        </is>
      </c>
      <c r="Z2" s="19" t="inlineStr">
        <is>
          <t>Administration: Due to lack of resources, the daily inspection process was delayed, resulting in some wheelchairs remaining uninspected, which caused patient suffering. Radiology: No Gap Identified. The patient was informed to contact reception staff for CD arrangements and to get the CD request entered in the system by concerned doctor.</t>
        </is>
      </c>
      <c r="AA2" s="19" t="inlineStr">
        <is>
          <t>Administration: Correction: 1- All damaged and non-functional wheelchairs were immediately removed from the service. 2-All repairable wheelchairs sent to FMS for repairing. Corrective Action: 1-A strict wheelchair inspection process has been implemented to ensure that only fully functional wheelchairs are available for patient use. 2-Relevant staff have been instructed to check wheelchair condition before handing it over to patients. Preventive Action: 1-Regular monitoring and documentation of wheelchair condition will be carried out on daily basis. 2- Induction of Porters/Supervisor staff is being done. Radiology: Not Required</t>
        </is>
      </c>
      <c r="AB2" s="19" t="inlineStr">
        <is>
          <t>Aministration: Wheelchair inspection Sheet attached.</t>
        </is>
      </c>
      <c r="AC2" s="19" t="inlineStr">
        <is>
          <t>Y</t>
        </is>
      </c>
      <c r="AD2" s="19" t="n">
        <v>1</v>
      </c>
    </row>
    <row r="3">
      <c r="A3" s="19" t="n">
        <v>2</v>
      </c>
      <c r="B3" s="19" t="n">
        <v>2026</v>
      </c>
      <c r="C3" s="19" t="inlineStr">
        <is>
          <t>January</t>
        </is>
      </c>
      <c r="D3" s="19" t="n">
        <v>46027</v>
      </c>
      <c r="E3" s="19" t="inlineStr">
        <is>
          <t>C-001-05-01-2026</t>
        </is>
      </c>
      <c r="F3" s="19" t="n">
        <v>46027</v>
      </c>
      <c r="G3" s="19" t="inlineStr">
        <is>
          <t>Ali Hassan</t>
        </is>
      </c>
      <c r="H3" s="19" t="n">
        <v>1088738</v>
      </c>
      <c r="I3" s="19" t="inlineStr">
        <is>
          <t>Irfan Ikram</t>
        </is>
      </c>
      <c r="J3" s="19" t="n"/>
      <c r="K3" s="19" t="n"/>
      <c r="L3" s="19" t="n">
        <v>46027</v>
      </c>
      <c r="M3" s="19" t="n">
        <v>46028</v>
      </c>
      <c r="N3" s="19" t="inlineStr">
        <is>
          <t>9-Jan-25 2 pm</t>
        </is>
      </c>
      <c r="O3" s="19" t="inlineStr">
        <is>
          <t>9-Jan-25</t>
        </is>
      </c>
      <c r="P3" s="19" t="inlineStr">
        <is>
          <t>2 pm</t>
        </is>
      </c>
      <c r="Q3" s="19" t="inlineStr">
        <is>
          <t>Laboratory</t>
        </is>
      </c>
      <c r="R3" s="19" t="n">
        <v>46028</v>
      </c>
      <c r="S3" s="19" t="inlineStr">
        <is>
          <t>Ms. Tayyaba</t>
        </is>
      </c>
      <c r="T3" s="19" t="n">
        <v>46035</v>
      </c>
      <c r="U3" s="19" t="inlineStr">
        <is>
          <t>Medical Directorate</t>
        </is>
      </c>
      <c r="V3" s="19" t="inlineStr">
        <is>
          <t>Service Delay - Lab Tests Reports</t>
        </is>
      </c>
      <c r="W3" s="19" t="inlineStr">
        <is>
          <t>Major</t>
        </is>
      </c>
      <c r="X3" s="19" t="inlineStr">
        <is>
          <t>Yes</t>
        </is>
      </c>
      <c r="Y3" s="19" t="inlineStr">
        <is>
          <t>Date of Event: 03-01-2026, Location: IPD-8TH His serum electrolytes were awaited. We tried to follow report multiple times but got no report till 1500H. On probing got to know that his sample had been misplaced.</t>
        </is>
      </c>
      <c r="Z3" s="19" t="inlineStr">
        <is>
          <t>Lack of tracking history in Sisoft - System does not retain tracking history when a material is rejected and a fresh sample is received.</t>
        </is>
      </c>
      <c r="AA3" s="19" t="inlineStr">
        <is>
          <t>1-Reinforcement of IT issues are communicated to ICT department. 2-Fresh Sample log sheet is implemented to overcome the issue.</t>
        </is>
      </c>
      <c r="AB3" s="19" t="n"/>
      <c r="AC3" s="19" t="n"/>
      <c r="AD3" s="19" t="n">
        <v>1</v>
      </c>
    </row>
    <row r="4">
      <c r="A4" s="19" t="n">
        <v>3</v>
      </c>
      <c r="B4" s="19" t="n">
        <v>2026</v>
      </c>
      <c r="C4" s="19" t="inlineStr">
        <is>
          <t>January</t>
        </is>
      </c>
      <c r="D4" s="19" t="n">
        <v>46027</v>
      </c>
      <c r="E4" s="19" t="inlineStr">
        <is>
          <t>C-002-05-01-2026</t>
        </is>
      </c>
      <c r="F4" s="19" t="n">
        <v>46028</v>
      </c>
      <c r="G4" s="19" t="inlineStr">
        <is>
          <t>Rubail Ali</t>
        </is>
      </c>
      <c r="H4" s="19" t="n">
        <v>981508</v>
      </c>
      <c r="I4" s="19" t="inlineStr">
        <is>
          <t>Dr. Saad Rehman</t>
        </is>
      </c>
      <c r="J4" s="19" t="inlineStr">
        <is>
          <t>0334-5603597</t>
        </is>
      </c>
      <c r="K4" s="19" t="inlineStr">
        <is>
          <t>PKLI</t>
        </is>
      </c>
      <c r="L4" s="19" t="n">
        <v>46027</v>
      </c>
      <c r="M4" s="19" t="n">
        <v>46028</v>
      </c>
      <c r="N4" s="19" t="inlineStr">
        <is>
          <t>9-Jan-25 2 pm</t>
        </is>
      </c>
      <c r="O4" s="19" t="inlineStr">
        <is>
          <t>9-Jan-25</t>
        </is>
      </c>
      <c r="P4" s="19" t="inlineStr">
        <is>
          <t>2 pm</t>
        </is>
      </c>
      <c r="Q4" s="19" t="inlineStr">
        <is>
          <t>Laboratory</t>
        </is>
      </c>
      <c r="R4" s="19" t="n">
        <v>46028</v>
      </c>
      <c r="S4" s="19" t="inlineStr">
        <is>
          <t>Ms. Tayyaba</t>
        </is>
      </c>
      <c r="T4" s="19" t="n">
        <v>46035</v>
      </c>
      <c r="U4" s="19" t="inlineStr">
        <is>
          <t>Medical Directorate</t>
        </is>
      </c>
      <c r="V4" s="19" t="inlineStr">
        <is>
          <t>Quality of Care - Test Results Variation</t>
        </is>
      </c>
      <c r="W4" s="19" t="inlineStr">
        <is>
          <t>Major</t>
        </is>
      </c>
      <c r="X4" s="19" t="inlineStr">
        <is>
          <t>Yes</t>
        </is>
      </c>
      <c r="Y4" s="19" t="inlineStr">
        <is>
          <t>Date of Event: 31-12-25, Location-IPD-8TH, Time: 11:18 Hours Patient received to IPD, fresh sample withdrawn and sent to the lab, the result shows that the total bilirubin 14.23, while patient was shifted to OT, during intra op, again sample sent to the labs which was 0.63.</t>
        </is>
      </c>
      <c r="Z4" s="19" t="inlineStr">
        <is>
          <t>Delta check (comparing current results with previous ones to detect any unusual or unexpected variations), process was missed at post analyticak ( Report verification) step."</t>
        </is>
      </c>
      <c r="AA4" s="19" t="inlineStr">
        <is>
          <t>Clinical pathology staff training on delta check with a refresher in every quarter.</t>
        </is>
      </c>
      <c r="AB4" s="19" t="n"/>
      <c r="AC4" s="19" t="n"/>
      <c r="AD4" s="19" t="n">
        <v>1</v>
      </c>
    </row>
    <row r="5">
      <c r="A5" s="19" t="n">
        <v>4</v>
      </c>
      <c r="B5" s="19" t="n">
        <v>2026</v>
      </c>
      <c r="C5" s="19" t="inlineStr">
        <is>
          <t>January</t>
        </is>
      </c>
      <c r="D5" s="19" t="n">
        <v>46027</v>
      </c>
      <c r="E5" s="19" t="inlineStr">
        <is>
          <t>C-003-05-01-2026</t>
        </is>
      </c>
      <c r="F5" s="19" t="n"/>
      <c r="G5" s="19" t="n"/>
      <c r="H5" s="19" t="n"/>
      <c r="I5" s="19" t="n"/>
      <c r="J5" s="19" t="n"/>
      <c r="K5" s="19" t="n"/>
      <c r="L5" s="19" t="n">
        <v>46027</v>
      </c>
      <c r="M5" s="19" t="n">
        <v>46028</v>
      </c>
      <c r="N5" s="19" t="inlineStr">
        <is>
          <t>9-Jan-25 2 pm</t>
        </is>
      </c>
      <c r="O5" s="19" t="inlineStr">
        <is>
          <t>9-Jan-25</t>
        </is>
      </c>
      <c r="P5" s="19" t="inlineStr">
        <is>
          <t>2 pm</t>
        </is>
      </c>
      <c r="Q5" s="19" t="inlineStr">
        <is>
          <t>Nursing</t>
        </is>
      </c>
      <c r="R5" s="19" t="inlineStr">
        <is>
          <t>7-Jan-2026 30-Jan-26</t>
        </is>
      </c>
      <c r="S5" s="19" t="inlineStr">
        <is>
          <t>Ms. Tahira</t>
        </is>
      </c>
      <c r="T5" s="19" t="n">
        <v>46050</v>
      </c>
      <c r="U5" s="19" t="inlineStr">
        <is>
          <t>Medical Directorate</t>
        </is>
      </c>
      <c r="V5" s="19" t="inlineStr">
        <is>
          <t>Scans Misplaced</t>
        </is>
      </c>
      <c r="W5" s="19" t="inlineStr">
        <is>
          <t>Moderate</t>
        </is>
      </c>
      <c r="X5" s="19" t="inlineStr">
        <is>
          <t>No</t>
        </is>
      </c>
      <c r="Y5" s="19" t="inlineStr">
        <is>
          <t>This patient came for Robotic pyeloplasty yesterday (date 31/12/2025) came in preop for procedure along with CT scan 3 films received by preop staff Shakeel Ahmed 4873 on preoperative check list. But due to Anesthesia machine issue patient postponed. patient shifted by preop staff Shakeel Ahmed UID 4873 back to floor along with 3 films of CT scan and handed over to IPD-5th staff Syed Nouman shah UID 4884 and take receiving on patient room transfer LOG. again, this patient come in preop (date 01/01/2026) received by preop staff Shakeel Ahmed UID 4873 but without CT Scan film. Dr Assad ur Rehman asked for CT scan, we called again and again IPD 5th for CT Scan films. Floor staff did not provide throughout procedure. Informed the floor manager she replied that it is missing from floor IPD 5th.</t>
        </is>
      </c>
      <c r="Z5" s="19" t="inlineStr">
        <is>
          <t>Handing and taking over was not complete; signed on taking over however did not check all the belongings.</t>
        </is>
      </c>
      <c r="AA5" s="19" t="inlineStr">
        <is>
          <t>IPD TL Mr. Kamran Immediately got CT film from the scan department record and provided to OT team for smooth functioning RN Noman Shah and other nurses are educated regarding the hospital policy of handing and taking over.</t>
        </is>
      </c>
      <c r="AB5" s="19" t="n"/>
      <c r="AC5" s="19" t="n"/>
      <c r="AD5" s="19" t="n">
        <v>1</v>
      </c>
    </row>
    <row r="6">
      <c r="A6" s="19" t="n">
        <v>5</v>
      </c>
      <c r="B6" s="19" t="n">
        <v>2026</v>
      </c>
      <c r="C6" s="19" t="inlineStr">
        <is>
          <t>January</t>
        </is>
      </c>
      <c r="D6" s="19" t="n">
        <v>46027</v>
      </c>
      <c r="E6" s="19" t="inlineStr">
        <is>
          <t>C-004-05-01-2026</t>
        </is>
      </c>
      <c r="F6" s="19" t="n">
        <v>46028</v>
      </c>
      <c r="G6" s="19" t="n"/>
      <c r="H6" s="19" t="n"/>
      <c r="I6" s="19" t="n"/>
      <c r="J6" s="19" t="n"/>
      <c r="K6" s="19" t="n"/>
      <c r="L6" s="19" t="n">
        <v>46027</v>
      </c>
      <c r="M6" s="19" t="n">
        <v>46028</v>
      </c>
      <c r="N6" s="19" t="inlineStr">
        <is>
          <t>9-Jan-25 2 pm</t>
        </is>
      </c>
      <c r="O6" s="19" t="inlineStr">
        <is>
          <t>9-Jan-25</t>
        </is>
      </c>
      <c r="P6" s="19" t="inlineStr">
        <is>
          <t>2 pm</t>
        </is>
      </c>
      <c r="Q6" s="19" t="inlineStr">
        <is>
          <t>AMU</t>
        </is>
      </c>
      <c r="R6" s="19" t="n">
        <v>46026</v>
      </c>
      <c r="S6" s="19" t="inlineStr">
        <is>
          <t>Dr. Sheri</t>
        </is>
      </c>
      <c r="T6" s="19" t="n">
        <v>46048</v>
      </c>
      <c r="U6" s="19" t="inlineStr">
        <is>
          <t>(Blank)</t>
        </is>
      </c>
      <c r="V6" s="19" t="inlineStr">
        <is>
          <t>Emergency Care Refused</t>
        </is>
      </c>
      <c r="W6" s="19" t="inlineStr">
        <is>
          <t>Serious</t>
        </is>
      </c>
      <c r="X6" s="19" t="inlineStr">
        <is>
          <t>Yes</t>
        </is>
      </c>
      <c r="Y6" s="19" t="inlineStr">
        <is>
          <t>Patient along with family visited AMU last night 4/1/26 around 8:30 pm and sent home (triage done) and advised to follow up in ID OPD. Patient was in respiratory distress and sick and needed urgent care and workup. Not an OPD candidate.</t>
        </is>
      </c>
      <c r="Z6" s="19" t="inlineStr">
        <is>
          <t>A review of the case and evaluation of the evidence indicate that despite the fact that the renal team is not keen on admitting the patients getting dialysis at other facilities, this patient should have been admitted to PKLI at the time of his initial presentation.</t>
        </is>
      </c>
      <c r="AA6" s="19" t="inlineStr">
        <is>
          <t>We appreciate that this could have resulted in a worse outcome ,hence we have counselled and re-educated the AMU team to take preemptive action in this common clinical scenerio to avoid such events in the future.</t>
        </is>
      </c>
      <c r="AB6" s="19" t="n"/>
      <c r="AC6" s="19" t="n"/>
      <c r="AD6" s="19" t="n">
        <v>1</v>
      </c>
    </row>
    <row r="7">
      <c r="A7" s="19" t="n">
        <v>6</v>
      </c>
      <c r="B7" s="19" t="n">
        <v>2026</v>
      </c>
      <c r="C7" s="19" t="inlineStr">
        <is>
          <t>January</t>
        </is>
      </c>
      <c r="D7" s="19" t="n">
        <v>46029</v>
      </c>
      <c r="E7" s="19" t="inlineStr">
        <is>
          <t>C-001-07-01-2026</t>
        </is>
      </c>
      <c r="F7" s="19" t="n">
        <v>46029</v>
      </c>
      <c r="G7" s="19" t="n"/>
      <c r="H7" s="19" t="n"/>
      <c r="I7" s="19" t="n"/>
      <c r="J7" s="19" t="n"/>
      <c r="K7" s="19" t="n"/>
      <c r="L7" s="19" t="n">
        <v>46029</v>
      </c>
      <c r="M7" s="19" t="n">
        <v>46029</v>
      </c>
      <c r="N7" s="19" t="inlineStr">
        <is>
          <t>9-Jan-25 4 pm</t>
        </is>
      </c>
      <c r="O7" s="19" t="inlineStr">
        <is>
          <t>9-Jan-25</t>
        </is>
      </c>
      <c r="P7" s="19" t="inlineStr">
        <is>
          <t>4 pm</t>
        </is>
      </c>
      <c r="Q7" s="19" t="inlineStr">
        <is>
          <t>Nursing OR</t>
        </is>
      </c>
      <c r="R7" s="19" t="n">
        <v>46030</v>
      </c>
      <c r="S7" s="19" t="inlineStr">
        <is>
          <t>Ms. Tahira</t>
        </is>
      </c>
      <c r="T7" s="19" t="n"/>
      <c r="U7" s="19" t="inlineStr">
        <is>
          <t>(Blank)</t>
        </is>
      </c>
      <c r="V7" s="19" t="inlineStr">
        <is>
          <t>Equipment Damage</t>
        </is>
      </c>
      <c r="W7" s="19" t="inlineStr">
        <is>
          <t>Minor</t>
        </is>
      </c>
      <c r="X7" s="19" t="inlineStr">
        <is>
          <t>No</t>
        </is>
      </c>
      <c r="Y7" s="19" t="inlineStr">
        <is>
          <t>ROBOTIC ARM (INSTRUMENT BED SIDE UNIT S.NO 0000020492 (CMR) EDGE WAS DEMAGE. INFORMED BY BABER ALI KHAN (U.ID 754) ON MORNING SHIFT 30-12.2025.</t>
        </is>
      </c>
      <c r="Z7" s="19" t="n"/>
      <c r="AA7" s="19" t="n"/>
      <c r="AB7" s="19" t="n"/>
      <c r="AC7" s="19" t="n"/>
      <c r="AD7" s="19" t="n">
        <v>1</v>
      </c>
    </row>
    <row r="8">
      <c r="A8" s="19" t="n">
        <v>7</v>
      </c>
      <c r="B8" s="19" t="n">
        <v>2026</v>
      </c>
      <c r="C8" s="19" t="inlineStr">
        <is>
          <t>January</t>
        </is>
      </c>
      <c r="D8" s="19" t="n">
        <v>46029</v>
      </c>
      <c r="E8" s="19" t="inlineStr">
        <is>
          <t>C-002-07-01-2026</t>
        </is>
      </c>
      <c r="F8" s="19" t="n">
        <v>46029</v>
      </c>
      <c r="G8" s="19" t="n"/>
      <c r="H8" s="19" t="n"/>
      <c r="I8" s="19" t="n"/>
      <c r="J8" s="19" t="n"/>
      <c r="K8" s="19" t="n"/>
      <c r="L8" s="19" t="n">
        <v>46029</v>
      </c>
      <c r="M8" s="19" t="n">
        <v>46029</v>
      </c>
      <c r="N8" s="19" t="inlineStr">
        <is>
          <t>9-Jan-25 4 pm</t>
        </is>
      </c>
      <c r="O8" s="19" t="inlineStr">
        <is>
          <t>9-Jan-25</t>
        </is>
      </c>
      <c r="P8" s="19" t="inlineStr">
        <is>
          <t>4 pm</t>
        </is>
      </c>
      <c r="Q8" s="19" t="inlineStr">
        <is>
          <t>Registration OPD</t>
        </is>
      </c>
      <c r="R8" s="19" t="n">
        <v>46030</v>
      </c>
      <c r="S8" s="19" t="inlineStr">
        <is>
          <t>Mr. Amir</t>
        </is>
      </c>
      <c r="T8" s="19" t="inlineStr">
        <is>
          <t>30-Jan-26 27-Mar-26</t>
        </is>
      </c>
      <c r="U8" s="19" t="inlineStr">
        <is>
          <t>(Blank)</t>
        </is>
      </c>
      <c r="V8" s="19" t="inlineStr">
        <is>
          <t>Documentation Error</t>
        </is>
      </c>
      <c r="W8" s="19" t="inlineStr">
        <is>
          <t>Moderate</t>
        </is>
      </c>
      <c r="X8" s="19" t="inlineStr">
        <is>
          <t>No</t>
        </is>
      </c>
      <c r="Y8" s="19" t="inlineStr">
        <is>
          <t>Procedure: Bladder Augmentation proceeded on date :02-1-2025 SURGEON: DR SARMAD IMTIAZ Patient's gender was incorrectly documented on the addressograph; it was written as male, whereas the patient is female.</t>
        </is>
      </c>
      <c r="Z8" s="19" t="inlineStr">
        <is>
          <t>Typing Error</t>
        </is>
      </c>
      <c r="AA8" s="19" t="inlineStr">
        <is>
          <t>1-Inclusion of demographic validation steps in Patient FLow Management Policy. 2-Addition of a disclaimer on patient information sheet is added. 3-Registration staff is trained to clearly communicate the pupose of signing the document.</t>
        </is>
      </c>
      <c r="AB8" s="19" t="n"/>
      <c r="AC8" s="19" t="n"/>
      <c r="AD8" s="19" t="n">
        <v>1</v>
      </c>
    </row>
    <row r="9">
      <c r="A9" s="19" t="n">
        <v>8</v>
      </c>
      <c r="B9" s="19" t="n">
        <v>2026</v>
      </c>
      <c r="C9" s="19" t="inlineStr">
        <is>
          <t>January</t>
        </is>
      </c>
      <c r="D9" s="19" t="n">
        <v>46029</v>
      </c>
      <c r="E9" s="19" t="inlineStr">
        <is>
          <t>C-003-07-01-2026</t>
        </is>
      </c>
      <c r="F9" s="19" t="n">
        <v>46029</v>
      </c>
      <c r="G9" s="19" t="n"/>
      <c r="H9" s="19" t="n"/>
      <c r="I9" s="19" t="n"/>
      <c r="J9" s="19" t="n"/>
      <c r="K9" s="19" t="n"/>
      <c r="L9" s="19" t="n">
        <v>46029</v>
      </c>
      <c r="M9" s="19" t="n">
        <v>46029</v>
      </c>
      <c r="N9" s="19" t="inlineStr">
        <is>
          <t>9-Jan-25 4 pm</t>
        </is>
      </c>
      <c r="O9" s="19" t="inlineStr">
        <is>
          <t>9-Jan-25</t>
        </is>
      </c>
      <c r="P9" s="19" t="inlineStr">
        <is>
          <t>4 pm</t>
        </is>
      </c>
      <c r="Q9" s="19" t="inlineStr">
        <is>
          <t>Supply Chain</t>
        </is>
      </c>
      <c r="R9" s="19" t="n">
        <v>46030</v>
      </c>
      <c r="S9" s="19" t="inlineStr">
        <is>
          <t>Mr Umer Farooq</t>
        </is>
      </c>
      <c r="T9" s="19" t="n">
        <v>46042</v>
      </c>
      <c r="U9" s="19" t="inlineStr">
        <is>
          <t>(Blank)</t>
        </is>
      </c>
      <c r="V9" s="19" t="inlineStr">
        <is>
          <t>Contaminated Supplies</t>
        </is>
      </c>
      <c r="W9" s="19" t="inlineStr">
        <is>
          <t>Major</t>
        </is>
      </c>
      <c r="X9" s="19" t="inlineStr">
        <is>
          <t>No</t>
        </is>
      </c>
      <c r="Y9" s="19" t="inlineStr">
        <is>
          <t>procedure: Right Robotic Pyeloplasty Surgeon: Dr Nauman Zafer Date:6-1-2026 We use disposable gauze but today before starting anaesthesia we open pro-med disposable absorbent gauze swab when we look a bug inside of gauze pack.</t>
        </is>
      </c>
      <c r="Z9" s="19" t="n"/>
      <c r="AA9" s="19" t="inlineStr">
        <is>
          <t>Conducted a formal meeting with the vendor representative to investigate the presence of biological contaminant. The vendor has provided a formal assurance that strict preventive measures are now in place to prevent recurrence.</t>
        </is>
      </c>
      <c r="AB9" s="19" t="n"/>
      <c r="AC9" s="19" t="n"/>
      <c r="AD9" s="19" t="n">
        <v>1</v>
      </c>
    </row>
    <row r="10">
      <c r="A10" s="19" t="n">
        <v>9</v>
      </c>
      <c r="B10" s="19" t="n">
        <v>2026</v>
      </c>
      <c r="C10" s="19" t="inlineStr">
        <is>
          <t>January</t>
        </is>
      </c>
      <c r="D10" s="19" t="n">
        <v>46029</v>
      </c>
      <c r="E10" s="19" t="inlineStr">
        <is>
          <t>C-004-07-01-2026</t>
        </is>
      </c>
      <c r="F10" s="19" t="n"/>
      <c r="G10" s="19" t="n"/>
      <c r="H10" s="19" t="n"/>
      <c r="I10" s="19" t="n"/>
      <c r="J10" s="19" t="n"/>
      <c r="K10" s="19" t="n"/>
      <c r="L10" s="19" t="n">
        <v>46029</v>
      </c>
      <c r="M10" s="19" t="n">
        <v>46029</v>
      </c>
      <c r="N10" s="19" t="inlineStr">
        <is>
          <t>9-Jan-25 4 pm</t>
        </is>
      </c>
      <c r="O10" s="19" t="inlineStr">
        <is>
          <t>9-Jan-25</t>
        </is>
      </c>
      <c r="P10" s="19" t="inlineStr">
        <is>
          <t>4 pm</t>
        </is>
      </c>
      <c r="Q10" s="19" t="inlineStr">
        <is>
          <t>OPD</t>
        </is>
      </c>
      <c r="R10" s="19" t="n">
        <v>46030</v>
      </c>
      <c r="S10" s="19" t="inlineStr">
        <is>
          <t>Mr. Amir</t>
        </is>
      </c>
      <c r="T10" s="19" t="n">
        <v>46052</v>
      </c>
      <c r="U10" s="19" t="inlineStr">
        <is>
          <t>(Blank)</t>
        </is>
      </c>
      <c r="V10" s="19" t="inlineStr">
        <is>
          <t>Staff Misconduct</t>
        </is>
      </c>
      <c r="W10" s="19" t="inlineStr">
        <is>
          <t>Moderate</t>
        </is>
      </c>
      <c r="X10" s="19" t="inlineStr">
        <is>
          <t>Yes</t>
        </is>
      </c>
      <c r="Y10" s="19" t="inlineStr">
        <is>
          <t>Sir, our meeting is scheduled with reputed doc Asad Bashir. He is going to review all the records of patient and donor. We were asked by our well-mannered and responsible coordinator that she has entered echo of donor but the guy at OPD 5 is behaving rudely besides saying that he would give 27 of January for same test. What we do for 27th of Jan, if our meeting is scheduled with Sir Asad Bashir tomorrow. Sir, there are lot of patients. It's hard to get appointments with doctors. If we request doctors, sir we need appointment then they allow but when they enter the required tests, guys at OPD’s refuse to do so. If we request, then they start misbehaving.</t>
        </is>
      </c>
      <c r="Z10" s="19" t="inlineStr">
        <is>
          <t>No Gap Identified as patient asked for Echo on same day without appointment and was asked to wait so if any patient missed he will be accomodated. He was eventually accomodated on the same day.</t>
        </is>
      </c>
      <c r="AA10" s="19" t="inlineStr">
        <is>
          <t>After discussing with the kidney transplant coordinator, patient was accomodated for echo test on saturday.</t>
        </is>
      </c>
      <c r="AB10" s="19" t="n"/>
      <c r="AC10" s="19" t="inlineStr">
        <is>
          <t>Y</t>
        </is>
      </c>
      <c r="AD10" s="19" t="n">
        <v>1</v>
      </c>
    </row>
    <row r="11">
      <c r="A11" s="19" t="n">
        <v>10</v>
      </c>
      <c r="B11" s="19" t="n">
        <v>2026</v>
      </c>
      <c r="C11" s="19" t="inlineStr">
        <is>
          <t>January</t>
        </is>
      </c>
      <c r="D11" s="19" t="n">
        <v>46029</v>
      </c>
      <c r="E11" s="19" t="inlineStr">
        <is>
          <t>C-005-07-01-2026</t>
        </is>
      </c>
      <c r="F11" s="19" t="n"/>
      <c r="G11" s="19" t="n"/>
      <c r="H11" s="19" t="n"/>
      <c r="I11" s="19" t="n"/>
      <c r="J11" s="19" t="n"/>
      <c r="K11" s="19" t="n"/>
      <c r="L11" s="19" t="n">
        <v>46029</v>
      </c>
      <c r="M11" s="19" t="n">
        <v>46029</v>
      </c>
      <c r="N11" s="19" t="inlineStr">
        <is>
          <t>9-Jan-25 4 pm</t>
        </is>
      </c>
      <c r="O11" s="19" t="inlineStr">
        <is>
          <t>9-Jan-25</t>
        </is>
      </c>
      <c r="P11" s="19" t="inlineStr">
        <is>
          <t>4 pm</t>
        </is>
      </c>
      <c r="Q11" s="19" t="inlineStr">
        <is>
          <t>Registration OPD</t>
        </is>
      </c>
      <c r="R11" s="19" t="n">
        <v>46030</v>
      </c>
      <c r="S11" s="19" t="inlineStr">
        <is>
          <t>Mr. Amir</t>
        </is>
      </c>
      <c r="T11" s="19" t="inlineStr">
        <is>
          <t>30-Jan-26 27-Mar-26</t>
        </is>
      </c>
      <c r="U11" s="19" t="inlineStr">
        <is>
          <t>(Blank)</t>
        </is>
      </c>
      <c r="V11" s="19" t="inlineStr">
        <is>
          <t>Documentation Error</t>
        </is>
      </c>
      <c r="W11" s="19" t="inlineStr">
        <is>
          <t>Moderate</t>
        </is>
      </c>
      <c r="X11" s="19" t="inlineStr">
        <is>
          <t>No</t>
        </is>
      </c>
      <c r="Y11" s="19" t="inlineStr">
        <is>
          <t>On duty RN Ms. Shanza identified the error that a female patient named Jaweria is under her care. The patient gender is mentioned as "Male" in HMIS. She immediately informed TL and FDO. A complaint generated by FDO and patient data entered accurately in system. Error is being reported for documentation as per organizational policy.</t>
        </is>
      </c>
      <c r="Z11" s="19" t="inlineStr">
        <is>
          <t>Typing Error</t>
        </is>
      </c>
      <c r="AA11" s="19" t="inlineStr">
        <is>
          <t>1-Inclusion of demographic validation steps in Patient FLow Management Policy. 2-Addition of a disclaimer on patient information sheet is added. 3-Registration staff is trained to clearly communicate the pupose of signing the document.</t>
        </is>
      </c>
      <c r="AB11" s="19" t="n"/>
      <c r="AC11" s="19" t="n"/>
      <c r="AD11" s="19" t="n">
        <v>1</v>
      </c>
    </row>
    <row r="12">
      <c r="A12" s="19" t="n">
        <v>11</v>
      </c>
      <c r="B12" s="19" t="n">
        <v>2026</v>
      </c>
      <c r="C12" s="19" t="inlineStr">
        <is>
          <t>January</t>
        </is>
      </c>
      <c r="D12" s="19" t="n">
        <v>46029</v>
      </c>
      <c r="E12" s="19" t="inlineStr">
        <is>
          <t>C-006-07-01-2026</t>
        </is>
      </c>
      <c r="F12" s="19" t="n">
        <v>46029</v>
      </c>
      <c r="G12" s="19" t="n"/>
      <c r="H12" s="19" t="n"/>
      <c r="I12" s="19" t="n"/>
      <c r="J12" s="19" t="n"/>
      <c r="K12" s="19" t="n"/>
      <c r="L12" s="19" t="n">
        <v>46029</v>
      </c>
      <c r="M12" s="19" t="n">
        <v>46029</v>
      </c>
      <c r="N12" s="19" t="inlineStr">
        <is>
          <t>9-Jan-25 4 pm</t>
        </is>
      </c>
      <c r="O12" s="19" t="inlineStr">
        <is>
          <t>9-Jan-25</t>
        </is>
      </c>
      <c r="P12" s="19" t="inlineStr">
        <is>
          <t>4 pm</t>
        </is>
      </c>
      <c r="Q12" s="19" t="inlineStr">
        <is>
          <t>Nursing</t>
        </is>
      </c>
      <c r="R12" s="19" t="n">
        <v>46030</v>
      </c>
      <c r="S12" s="19" t="inlineStr">
        <is>
          <t>Ms. Tahira</t>
        </is>
      </c>
      <c r="T12" s="19" t="n">
        <v>46050</v>
      </c>
      <c r="U12" s="19" t="inlineStr">
        <is>
          <t>(Blank)</t>
        </is>
      </c>
      <c r="V12" s="19" t="inlineStr">
        <is>
          <t>Preop Shifting Delay</t>
        </is>
      </c>
      <c r="W12" s="19" t="inlineStr">
        <is>
          <t>Moderate</t>
        </is>
      </c>
      <c r="X12" s="19" t="inlineStr">
        <is>
          <t>Yes</t>
        </is>
      </c>
      <c r="Y12" s="19" t="inlineStr">
        <is>
          <t>Date of Event: 06-01-2026, Location: Operation Room Procedure RT RIRS preop call time 11:25, received in preop 12:58, delay in shifting from floor.</t>
        </is>
      </c>
      <c r="Z12" s="19" t="n"/>
      <c r="AA12" s="19" t="n"/>
      <c r="AB12" s="19" t="n"/>
      <c r="AC12" s="19" t="n"/>
      <c r="AD12" s="19" t="n">
        <v>1</v>
      </c>
    </row>
    <row r="13">
      <c r="A13" s="19" t="n">
        <v>12</v>
      </c>
      <c r="B13" s="19" t="n">
        <v>2026</v>
      </c>
      <c r="C13" s="19" t="inlineStr">
        <is>
          <t>January</t>
        </is>
      </c>
      <c r="D13" s="19" t="n">
        <v>46029</v>
      </c>
      <c r="E13" s="19" t="inlineStr">
        <is>
          <t>C-007-07-01-2026</t>
        </is>
      </c>
      <c r="F13" s="19" t="n">
        <v>46029</v>
      </c>
      <c r="G13" s="19" t="n"/>
      <c r="H13" s="19" t="n"/>
      <c r="I13" s="19" t="n"/>
      <c r="J13" s="19" t="n"/>
      <c r="K13" s="19" t="n"/>
      <c r="L13" s="19" t="n">
        <v>46029</v>
      </c>
      <c r="M13" s="19" t="n">
        <v>46029</v>
      </c>
      <c r="N13" s="19" t="inlineStr">
        <is>
          <t>9-Jan-25 4 pm</t>
        </is>
      </c>
      <c r="O13" s="19" t="inlineStr">
        <is>
          <t>9-Jan-25</t>
        </is>
      </c>
      <c r="P13" s="19" t="inlineStr">
        <is>
          <t>4 pm</t>
        </is>
      </c>
      <c r="Q13" s="19" t="inlineStr">
        <is>
          <t>Nursing</t>
        </is>
      </c>
      <c r="R13" s="19" t="n">
        <v>46030</v>
      </c>
      <c r="S13" s="19" t="inlineStr">
        <is>
          <t>Ms. Tahira</t>
        </is>
      </c>
      <c r="T13" s="19" t="inlineStr">
        <is>
          <t>28-Jan-2026 30-Jan-2026</t>
        </is>
      </c>
      <c r="U13" s="19" t="inlineStr">
        <is>
          <t>(Blank)</t>
        </is>
      </c>
      <c r="V13" s="19" t="inlineStr">
        <is>
          <t>Preop Shifting Delay</t>
        </is>
      </c>
      <c r="W13" s="19" t="inlineStr">
        <is>
          <t>Moderate</t>
        </is>
      </c>
      <c r="X13" s="19" t="inlineStr">
        <is>
          <t>Yes</t>
        </is>
      </c>
      <c r="Y13" s="19" t="inlineStr">
        <is>
          <t>Date of Event: 06-01-2026, Location: Operation Room PROCEDURE RT PCNL PREOP CALL TIME 13:40 PATIENT RECEIVED IN PREOP 15:30, DELAY IN SHIFTING FROM FLOOR.</t>
        </is>
      </c>
      <c r="Z13" s="19" t="n"/>
      <c r="AA13" s="19" t="n"/>
      <c r="AB13" s="19" t="n"/>
      <c r="AC13" s="19" t="n"/>
      <c r="AD13" s="19" t="n">
        <v>1</v>
      </c>
    </row>
    <row r="14">
      <c r="A14" s="19" t="n">
        <v>13</v>
      </c>
      <c r="B14" s="19" t="n">
        <v>2026</v>
      </c>
      <c r="C14" s="19" t="inlineStr">
        <is>
          <t>January</t>
        </is>
      </c>
      <c r="D14" s="19" t="n">
        <v>46029</v>
      </c>
      <c r="E14" s="19" t="inlineStr">
        <is>
          <t>C-008-07-01-2026</t>
        </is>
      </c>
      <c r="F14" s="19" t="n">
        <v>46029</v>
      </c>
      <c r="G14" s="19" t="n"/>
      <c r="H14" s="19" t="n"/>
      <c r="I14" s="19" t="n"/>
      <c r="J14" s="19" t="n"/>
      <c r="K14" s="19" t="n"/>
      <c r="L14" s="19" t="n">
        <v>46029</v>
      </c>
      <c r="M14" s="19" t="n">
        <v>46029</v>
      </c>
      <c r="N14" s="19" t="inlineStr">
        <is>
          <t>9-Jan-25 4 pm</t>
        </is>
      </c>
      <c r="O14" s="19" t="inlineStr">
        <is>
          <t>9-Jan-25</t>
        </is>
      </c>
      <c r="P14" s="19" t="inlineStr">
        <is>
          <t>4 pm</t>
        </is>
      </c>
      <c r="Q14" s="19" t="inlineStr">
        <is>
          <t>Nursing</t>
        </is>
      </c>
      <c r="R14" s="19" t="n">
        <v>46030</v>
      </c>
      <c r="S14" s="19" t="inlineStr">
        <is>
          <t>Ms. Tahira</t>
        </is>
      </c>
      <c r="T14" s="19" t="inlineStr">
        <is>
          <t>28-Jan-2026 30-Jan-2026</t>
        </is>
      </c>
      <c r="U14" s="19" t="inlineStr">
        <is>
          <t>(Blank)</t>
        </is>
      </c>
      <c r="V14" s="19" t="inlineStr">
        <is>
          <t>Preop Shifting Delay</t>
        </is>
      </c>
      <c r="W14" s="19" t="inlineStr">
        <is>
          <t>Moderate</t>
        </is>
      </c>
      <c r="X14" s="19" t="inlineStr">
        <is>
          <t>Yes</t>
        </is>
      </c>
      <c r="Y14" s="19" t="inlineStr">
        <is>
          <t>Date of Event: 06-01-2026, Location: Operation Room PROCEDURE RT URS PREOP CALL TIME 13:40 PATIENT RECEIVED IN PREOP AT 14:35, DELAY IN SHIFTING FROM FLOOR.</t>
        </is>
      </c>
      <c r="Z14" s="19" t="n"/>
      <c r="AA14" s="19" t="n"/>
      <c r="AB14" s="19" t="n"/>
      <c r="AC14" s="19" t="n"/>
      <c r="AD14" s="19" t="n">
        <v>1</v>
      </c>
    </row>
    <row r="15">
      <c r="A15" s="19" t="n">
        <v>14</v>
      </c>
      <c r="B15" s="19" t="n">
        <v>2026</v>
      </c>
      <c r="C15" s="19" t="inlineStr">
        <is>
          <t>January</t>
        </is>
      </c>
      <c r="D15" s="19" t="n">
        <v>46029</v>
      </c>
      <c r="E15" s="19" t="inlineStr">
        <is>
          <t>C-009-07-01-2026</t>
        </is>
      </c>
      <c r="F15" s="19" t="n">
        <v>46029</v>
      </c>
      <c r="G15" s="19" t="n"/>
      <c r="H15" s="19" t="n"/>
      <c r="I15" s="19" t="n"/>
      <c r="J15" s="19" t="n"/>
      <c r="K15" s="19" t="n"/>
      <c r="L15" s="19" t="n">
        <v>46029</v>
      </c>
      <c r="M15" s="19" t="n">
        <v>46029</v>
      </c>
      <c r="N15" s="19" t="inlineStr">
        <is>
          <t>9-Jan-25 4 pm</t>
        </is>
      </c>
      <c r="O15" s="19" t="inlineStr">
        <is>
          <t>9-Jan-25</t>
        </is>
      </c>
      <c r="P15" s="19" t="inlineStr">
        <is>
          <t>4 pm</t>
        </is>
      </c>
      <c r="Q15" s="19" t="inlineStr">
        <is>
          <t>Nursing</t>
        </is>
      </c>
      <c r="R15" s="19" t="n">
        <v>46030</v>
      </c>
      <c r="S15" s="19" t="inlineStr">
        <is>
          <t>Ms. Tahira</t>
        </is>
      </c>
      <c r="T15" s="19" t="inlineStr">
        <is>
          <t>28-Jan-2026 30-Jan-2026</t>
        </is>
      </c>
      <c r="U15" s="19" t="inlineStr">
        <is>
          <t>(Blank)</t>
        </is>
      </c>
      <c r="V15" s="19" t="inlineStr">
        <is>
          <t>Preop Shifting Delay</t>
        </is>
      </c>
      <c r="W15" s="19" t="inlineStr">
        <is>
          <t>Moderate</t>
        </is>
      </c>
      <c r="X15" s="19" t="inlineStr">
        <is>
          <t>Yes</t>
        </is>
      </c>
      <c r="Y15" s="19" t="inlineStr">
        <is>
          <t>Date of Event: 06-01-2026, Location: Operation Room PROCEUDURE LT PCNL PREOP CALL TIME 13:40 PATIENT RECEIVED IN PREOP AT 15:13, DELAY IN SHIFTING FROM FLOOR.</t>
        </is>
      </c>
      <c r="Z15" s="19" t="n"/>
      <c r="AA15" s="19" t="n"/>
      <c r="AB15" s="19" t="n"/>
      <c r="AC15" s="19" t="n"/>
      <c r="AD15" s="19" t="n">
        <v>1</v>
      </c>
    </row>
    <row r="16">
      <c r="A16" s="19" t="n">
        <v>15</v>
      </c>
      <c r="B16" s="19" t="n">
        <v>2026</v>
      </c>
      <c r="C16" s="19" t="inlineStr">
        <is>
          <t>January</t>
        </is>
      </c>
      <c r="D16" s="19" t="n">
        <v>46030</v>
      </c>
      <c r="E16" s="19" t="inlineStr">
        <is>
          <t>C-001-08-01-2026</t>
        </is>
      </c>
      <c r="F16" s="19" t="n">
        <v>46031</v>
      </c>
      <c r="G16" s="19" t="n"/>
      <c r="H16" s="19" t="n"/>
      <c r="I16" s="19" t="n"/>
      <c r="J16" s="19" t="n"/>
      <c r="K16" s="19" t="n"/>
      <c r="L16" s="19" t="n">
        <v>46030</v>
      </c>
      <c r="M16" s="19" t="n">
        <v>46031</v>
      </c>
      <c r="N16" s="19" t="inlineStr">
        <is>
          <t>12-Jan-26 4 pm</t>
        </is>
      </c>
      <c r="O16" s="19" t="inlineStr">
        <is>
          <t>12-Jan-26</t>
        </is>
      </c>
      <c r="P16" s="19" t="inlineStr">
        <is>
          <t>4 pm</t>
        </is>
      </c>
      <c r="Q16" s="19" t="inlineStr">
        <is>
          <t>Financial Screening</t>
        </is>
      </c>
      <c r="R16" s="19" t="n">
        <v>46031</v>
      </c>
      <c r="S16" s="19" t="inlineStr">
        <is>
          <t>Nigran</t>
        </is>
      </c>
      <c r="T16" s="19" t="n">
        <v>46037</v>
      </c>
      <c r="U16" s="19" t="inlineStr">
        <is>
          <t>(Blank)</t>
        </is>
      </c>
      <c r="V16" s="19" t="inlineStr">
        <is>
          <t>Financial Assessment Dispute</t>
        </is>
      </c>
      <c r="W16" s="19" t="inlineStr">
        <is>
          <t>Minor</t>
        </is>
      </c>
      <c r="X16" s="19" t="inlineStr">
        <is>
          <t>Yes</t>
        </is>
      </c>
      <c r="Y16" s="19" t="inlineStr">
        <is>
          <t>FS department granted a patient 0% financial assessment after he provided complete, correct and truthful details upon which he complained and FS staff called him and told him that a field investigation will be done for which he refused and requested FS assistence on documents basis upon which Mr. ALi agreed but later they denied and laughed at, mocked and harrassed him.</t>
        </is>
      </c>
      <c r="Z16" s="19" t="inlineStr">
        <is>
          <t>No gap identified - Upon presenting his documents to FS committee , assessment was rejected. Moreover the investigation and telephonic conversation with the patient found no staff misconduct or humiliation.</t>
        </is>
      </c>
      <c r="AA16" s="19" t="inlineStr">
        <is>
          <t>As the patient was insisting , documents were again sent to committee and a 20% discount was approved. The procedure of the patient is completed successfully.</t>
        </is>
      </c>
      <c r="AB16" s="19" t="n"/>
      <c r="AC16" s="19" t="inlineStr">
        <is>
          <t>Y</t>
        </is>
      </c>
      <c r="AD16" s="19" t="n">
        <v>1</v>
      </c>
    </row>
    <row r="17">
      <c r="A17" s="19" t="n">
        <v>16</v>
      </c>
      <c r="B17" s="19" t="n">
        <v>2026</v>
      </c>
      <c r="C17" s="19" t="inlineStr">
        <is>
          <t>January</t>
        </is>
      </c>
      <c r="D17" s="19" t="n">
        <v>46030</v>
      </c>
      <c r="E17" s="19" t="inlineStr">
        <is>
          <t>C-002-08-01-2026</t>
        </is>
      </c>
      <c r="F17" s="19" t="n">
        <v>46030</v>
      </c>
      <c r="G17" s="19" t="n"/>
      <c r="H17" s="19" t="n"/>
      <c r="I17" s="19" t="n"/>
      <c r="J17" s="19" t="n"/>
      <c r="K17" s="19" t="n"/>
      <c r="L17" s="19" t="n">
        <v>46030</v>
      </c>
      <c r="M17" s="19" t="n">
        <v>46031</v>
      </c>
      <c r="N17" s="19" t="inlineStr">
        <is>
          <t>12-Jan-26 4 pm</t>
        </is>
      </c>
      <c r="O17" s="19" t="inlineStr">
        <is>
          <t>12-Jan-26</t>
        </is>
      </c>
      <c r="P17" s="19" t="inlineStr">
        <is>
          <t>4 pm</t>
        </is>
      </c>
      <c r="Q17" s="19" t="inlineStr">
        <is>
          <t>Admin/ FMS</t>
        </is>
      </c>
      <c r="R17" s="19" t="n">
        <v>46031</v>
      </c>
      <c r="S17" s="19" t="inlineStr">
        <is>
          <t>Arish</t>
        </is>
      </c>
      <c r="T17" s="19" t="n">
        <v>46035</v>
      </c>
      <c r="U17" s="19" t="inlineStr">
        <is>
          <t>(Blank)</t>
        </is>
      </c>
      <c r="V17" s="19" t="inlineStr">
        <is>
          <t>Slip &amp; Fall Incident</t>
        </is>
      </c>
      <c r="W17" s="19" t="inlineStr">
        <is>
          <t>Major</t>
        </is>
      </c>
      <c r="X17" s="19" t="inlineStr">
        <is>
          <t>No</t>
        </is>
      </c>
      <c r="Y17" s="19" t="inlineStr">
        <is>
          <t>Slip on staircase - Manager FNSD fell due to slippery stairs adjacent to rehabiliation center.</t>
        </is>
      </c>
      <c r="Z17" s="19" t="inlineStr">
        <is>
          <t>FMS: No Gap is identified as both sides of stairs has safety rails and anti slip edge strips are installed so No Gap is identified. Admin: No gap identified as no cleaning activity was being carried out there.</t>
        </is>
      </c>
      <c r="AA17" s="19" t="inlineStr">
        <is>
          <t>FMS: Not Required Admin : Not required</t>
        </is>
      </c>
      <c r="AB17" s="19" t="n"/>
      <c r="AC17" s="19" t="inlineStr">
        <is>
          <t>Y</t>
        </is>
      </c>
      <c r="AD17" s="19" t="n">
        <v>1</v>
      </c>
    </row>
    <row r="18">
      <c r="A18" s="19" t="n">
        <v>17</v>
      </c>
      <c r="B18" s="19" t="n">
        <v>2026</v>
      </c>
      <c r="C18" s="19" t="inlineStr">
        <is>
          <t>January</t>
        </is>
      </c>
      <c r="D18" s="19" t="n">
        <v>46030</v>
      </c>
      <c r="E18" s="19" t="inlineStr">
        <is>
          <t>C-003-08-01-2026</t>
        </is>
      </c>
      <c r="F18" s="19" t="n"/>
      <c r="G18" s="19" t="n"/>
      <c r="H18" s="19" t="n"/>
      <c r="I18" s="19" t="n"/>
      <c r="J18" s="19" t="n"/>
      <c r="K18" s="19" t="n"/>
      <c r="L18" s="19" t="n">
        <v>46030</v>
      </c>
      <c r="M18" s="19" t="n">
        <v>46031</v>
      </c>
      <c r="N18" s="19" t="inlineStr">
        <is>
          <t>12-Jan-26 4 pm</t>
        </is>
      </c>
      <c r="O18" s="19" t="inlineStr">
        <is>
          <t>12-Jan-26</t>
        </is>
      </c>
      <c r="P18" s="19" t="inlineStr">
        <is>
          <t>4 pm</t>
        </is>
      </c>
      <c r="Q18" s="19" t="inlineStr">
        <is>
          <t>Laboratory/ Phlebotomy</t>
        </is>
      </c>
      <c r="R18" s="19" t="n">
        <v>46031</v>
      </c>
      <c r="S18" s="19" t="inlineStr">
        <is>
          <t>Ms. Tayyaba</t>
        </is>
      </c>
      <c r="T18" s="19" t="n">
        <v>46041</v>
      </c>
      <c r="U18" s="19" t="inlineStr">
        <is>
          <t>(Blank)</t>
        </is>
      </c>
      <c r="V18" s="19" t="inlineStr">
        <is>
          <t>Staff Attitude</t>
        </is>
      </c>
      <c r="W18" s="19" t="inlineStr">
        <is>
          <t>Minor</t>
        </is>
      </c>
      <c r="X18" s="19" t="inlineStr">
        <is>
          <t>No</t>
        </is>
      </c>
      <c r="Y18" s="19" t="inlineStr">
        <is>
          <t>Event Date: 05-01-2026 Timing: 6:45Pm This complaint is from a transplant patient about behavior of the Phlebotomy staff when she came for blood sampling..</t>
        </is>
      </c>
      <c r="Z18" s="19" t="inlineStr">
        <is>
          <t>No Gap identified at the patient insisted on taking her sample first as she was an employe but the phlebotomy staff didn't let her by pass the queue.</t>
        </is>
      </c>
      <c r="AA18" s="19" t="inlineStr">
        <is>
          <t>Not required.</t>
        </is>
      </c>
      <c r="AB18" s="19" t="n"/>
      <c r="AC18" s="19" t="n"/>
      <c r="AD18" s="19" t="n">
        <v>1</v>
      </c>
    </row>
    <row r="19">
      <c r="A19" s="19" t="n">
        <v>18</v>
      </c>
      <c r="B19" s="19" t="n">
        <v>2026</v>
      </c>
      <c r="C19" s="19" t="inlineStr">
        <is>
          <t>January</t>
        </is>
      </c>
      <c r="D19" s="19" t="n">
        <v>46034</v>
      </c>
      <c r="E19" s="19" t="inlineStr">
        <is>
          <t>C-001-12-01-2026</t>
        </is>
      </c>
      <c r="F19" s="19" t="n">
        <v>46034</v>
      </c>
      <c r="G19" s="19" t="n"/>
      <c r="H19" s="19" t="n"/>
      <c r="I19" s="19" t="n"/>
      <c r="J19" s="19" t="n"/>
      <c r="K19" s="19" t="n"/>
      <c r="L19" s="19" t="n">
        <v>46034</v>
      </c>
      <c r="M19" s="19" t="n">
        <v>46034</v>
      </c>
      <c r="N19" s="19" t="inlineStr">
        <is>
          <t>15-Jan-26 4 pm</t>
        </is>
      </c>
      <c r="O19" s="19" t="inlineStr">
        <is>
          <t>15-Jan-26</t>
        </is>
      </c>
      <c r="P19" s="19" t="inlineStr">
        <is>
          <t>4 pm</t>
        </is>
      </c>
      <c r="Q19" s="19" t="inlineStr">
        <is>
          <t>KTX</t>
        </is>
      </c>
      <c r="R19" s="19" t="n">
        <v>46034</v>
      </c>
      <c r="S19" s="19" t="inlineStr">
        <is>
          <t>Dr. Ammar</t>
        </is>
      </c>
      <c r="T19" s="19" t="n">
        <v>46049</v>
      </c>
      <c r="U19" s="19" t="inlineStr">
        <is>
          <t>(Blank)</t>
        </is>
      </c>
      <c r="V19" s="19" t="inlineStr">
        <is>
          <t>Staff Misconduct</t>
        </is>
      </c>
      <c r="W19" s="19" t="inlineStr">
        <is>
          <t>Moderate</t>
        </is>
      </c>
      <c r="X19" s="19" t="inlineStr">
        <is>
          <t>Yes</t>
        </is>
      </c>
      <c r="Y19" s="19" t="inlineStr">
        <is>
          <t>KTX coordinator's unethical language - Father name of the siblings on FRC form had a discrepency on which KTX coordinator said that this is indicating two different fathers.</t>
        </is>
      </c>
      <c r="Z19" s="19" t="inlineStr">
        <is>
          <t>No Gap Identified - As the formal departmental inquiry findings didn't reveal any evidence of misconduct.</t>
        </is>
      </c>
      <c r="AA19" s="19" t="inlineStr">
        <is>
          <t>Not Required - However a counselling on maintaing professional communication and conduct with patients was done as a measure of continuous quality improvement.</t>
        </is>
      </c>
      <c r="AB19" s="19" t="n"/>
      <c r="AC19" s="19" t="inlineStr">
        <is>
          <t>Y</t>
        </is>
      </c>
      <c r="AD19" s="19" t="n">
        <v>1</v>
      </c>
    </row>
    <row r="20">
      <c r="A20" s="19" t="n">
        <v>19</v>
      </c>
      <c r="B20" s="19" t="n">
        <v>2026</v>
      </c>
      <c r="C20" s="19" t="inlineStr">
        <is>
          <t>January</t>
        </is>
      </c>
      <c r="D20" s="19" t="n">
        <v>46037</v>
      </c>
      <c r="E20" s="19" t="inlineStr">
        <is>
          <t>C-0002-15-01-2026</t>
        </is>
      </c>
      <c r="F20" s="19" t="n">
        <v>46037</v>
      </c>
      <c r="G20" s="19" t="n"/>
      <c r="H20" s="19" t="n"/>
      <c r="I20" s="19" t="n"/>
      <c r="J20" s="19" t="n"/>
      <c r="K20" s="19" t="n"/>
      <c r="L20" s="19" t="n">
        <v>46037</v>
      </c>
      <c r="M20" s="19" t="n">
        <v>46037</v>
      </c>
      <c r="N20" s="19" t="inlineStr">
        <is>
          <t>20-Jan-26 4 pm</t>
        </is>
      </c>
      <c r="O20" s="19" t="inlineStr">
        <is>
          <t>20-Jan-26</t>
        </is>
      </c>
      <c r="P20" s="19" t="inlineStr">
        <is>
          <t>4 pm</t>
        </is>
      </c>
      <c r="Q20" s="19" t="inlineStr">
        <is>
          <t>Nursing</t>
        </is>
      </c>
      <c r="R20" s="19" t="n">
        <v>46038</v>
      </c>
      <c r="S20" s="19" t="inlineStr">
        <is>
          <t>Ms. Tahira</t>
        </is>
      </c>
      <c r="T20" s="19" t="n"/>
      <c r="U20" s="19" t="inlineStr">
        <is>
          <t>(Blank)</t>
        </is>
      </c>
      <c r="V20" s="19" t="inlineStr">
        <is>
          <t>Equipment Incomplete</t>
        </is>
      </c>
      <c r="W20" s="19" t="inlineStr">
        <is>
          <t>Minor</t>
        </is>
      </c>
      <c r="X20" s="19" t="inlineStr">
        <is>
          <t>No</t>
        </is>
      </c>
      <c r="Y20" s="19" t="inlineStr">
        <is>
          <t>Mr. Abdul Rehman received the kidney Recipient set 01 at 15:50 on date 30 December 2025 from the x-shift staff Mr. Muhammad Shahbaz U.ID 4041 and received the checklist in Decontamination Area that the set was complete. Personal decontamination responsibility that checked and counted the set of equipment according to the checklist. But he did not count the instrument set. After the washer disinfection cycle was completed, Mr. Ahsan Afzal U.ID 3364 reassembled the KTX Recipient set then informed Mr. Bilal Bahadar U.ID 4322 that the Towel clip “BF 432R ‘was missing from the set. As per our policy and protocol, Mr. Abdul Rehman was responsible for misplacing the Towel clip “BF 432R.</t>
        </is>
      </c>
      <c r="Z20" s="19" t="n"/>
      <c r="AA20" s="19" t="n"/>
      <c r="AB20" s="19" t="n"/>
      <c r="AC20" s="19" t="n"/>
      <c r="AD20" s="19" t="n">
        <v>1</v>
      </c>
    </row>
    <row r="21">
      <c r="A21" s="19" t="n">
        <v>20</v>
      </c>
      <c r="B21" s="19" t="n">
        <v>2026</v>
      </c>
      <c r="C21" s="19" t="inlineStr">
        <is>
          <t>January</t>
        </is>
      </c>
      <c r="D21" s="19" t="n">
        <v>46037</v>
      </c>
      <c r="E21" s="19" t="inlineStr">
        <is>
          <t>C-003-15-01-2026</t>
        </is>
      </c>
      <c r="F21" s="19" t="n">
        <v>46037</v>
      </c>
      <c r="G21" s="19" t="n"/>
      <c r="H21" s="19" t="n"/>
      <c r="I21" s="19" t="n"/>
      <c r="J21" s="19" t="n"/>
      <c r="K21" s="19" t="n"/>
      <c r="L21" s="19" t="n">
        <v>46037</v>
      </c>
      <c r="M21" s="19" t="n">
        <v>46037</v>
      </c>
      <c r="N21" s="19" t="inlineStr">
        <is>
          <t>22-Jan-26 2 pm</t>
        </is>
      </c>
      <c r="O21" s="19" t="inlineStr">
        <is>
          <t>22-Jan-26</t>
        </is>
      </c>
      <c r="P21" s="19" t="inlineStr">
        <is>
          <t>2 pm</t>
        </is>
      </c>
      <c r="Q21" s="19" t="inlineStr">
        <is>
          <t>Radiology</t>
        </is>
      </c>
      <c r="R21" s="19" t="inlineStr">
        <is>
          <t>15-Jan-26 16-Feb-26</t>
        </is>
      </c>
      <c r="S21" s="19" t="inlineStr">
        <is>
          <t>Mr. Husnain</t>
        </is>
      </c>
      <c r="T21" s="19" t="n">
        <v>46057</v>
      </c>
      <c r="U21" s="19" t="inlineStr">
        <is>
          <t>(Blank)</t>
        </is>
      </c>
      <c r="V21" s="19" t="inlineStr">
        <is>
          <t>Procedure Cancellation</t>
        </is>
      </c>
      <c r="W21" s="19" t="inlineStr">
        <is>
          <t>Major</t>
        </is>
      </c>
      <c r="X21" s="19" t="inlineStr">
        <is>
          <t>Yes</t>
        </is>
      </c>
      <c r="Y21" s="19" t="inlineStr">
        <is>
          <t>Dr. Usman gave today’s 14-01-26 time for Patient Sobia biopsy, and we were asked to come by 8: am. We got admitted at due time and then waited whole day. Dr. Usman came in evening around 5pm, and said, “I will not perform the Biopsy now, Dr. Ramzan will check your patient and perform Biopsy on another day. My Sister is widow; she has come from Faisalabad since yesterday for Biopsy. It is difficult for her to travel repeatedly.</t>
        </is>
      </c>
      <c r="Z21" s="19" t="n"/>
      <c r="AA21" s="19" t="n"/>
      <c r="AB21" s="19" t="n"/>
      <c r="AC21" s="19" t="n"/>
      <c r="AD21" s="19" t="n">
        <v>1</v>
      </c>
    </row>
    <row r="22">
      <c r="A22" s="19" t="n">
        <v>21</v>
      </c>
      <c r="B22" s="19" t="n">
        <v>2026</v>
      </c>
      <c r="C22" s="19" t="inlineStr">
        <is>
          <t>January</t>
        </is>
      </c>
      <c r="D22" s="19" t="n">
        <v>46037</v>
      </c>
      <c r="E22" s="19" t="inlineStr">
        <is>
          <t>C-004-15-01-2026</t>
        </is>
      </c>
      <c r="F22" s="19" t="n"/>
      <c r="G22" s="19" t="n"/>
      <c r="H22" s="19" t="n"/>
      <c r="I22" s="19" t="n"/>
      <c r="J22" s="19" t="n"/>
      <c r="K22" s="19" t="n"/>
      <c r="L22" s="19" t="n">
        <v>46037</v>
      </c>
      <c r="M22" s="19" t="n">
        <v>46037</v>
      </c>
      <c r="N22" s="19" t="inlineStr">
        <is>
          <t>20-Jan-26 4 pm</t>
        </is>
      </c>
      <c r="O22" s="19" t="inlineStr">
        <is>
          <t>20-Jan-26</t>
        </is>
      </c>
      <c r="P22" s="19" t="inlineStr">
        <is>
          <t>4 pm</t>
        </is>
      </c>
      <c r="Q22" s="19" t="inlineStr">
        <is>
          <t>Internal Medicine</t>
        </is>
      </c>
      <c r="R22" s="19" t="n">
        <v>46038</v>
      </c>
      <c r="S22" s="19" t="inlineStr">
        <is>
          <t>Ms. Nasira</t>
        </is>
      </c>
      <c r="T22" s="19" t="n">
        <v>46049</v>
      </c>
      <c r="U22" s="19" t="inlineStr">
        <is>
          <t>(Blank)</t>
        </is>
      </c>
      <c r="V22" s="19" t="inlineStr">
        <is>
          <t>OPD Consultation Delay</t>
        </is>
      </c>
      <c r="W22" s="19" t="inlineStr">
        <is>
          <t>Moderate</t>
        </is>
      </c>
      <c r="X22" s="19" t="inlineStr">
        <is>
          <t>Yes</t>
        </is>
      </c>
      <c r="Y22" s="19" t="inlineStr">
        <is>
          <t>I am writing to formally complain about the extremely unprofessional and incompetent conduct of Dr. Furqana Akhtar, Infectious Diseases Specialist, during my visit to PKLI Hospital today. Despite being informed that the doctor would start seeing patients at 9:45 AM, we were kept waiting until approximately 12:15 PM without any proper explanation. This delay is unacceptable and reflects complete disregard for patients’ time. Even after her arrival, there was no clear handling of patients, nor any accountability from the staff. We paid almost PKR 4,000 for this consultation, which does not justify such poor service, lack of coordination, and absence of basic professionalism. The staff failed to address concerns and kept redirecting us instead of resolving the issue. This experience clearly indicates poor time management and incompetence at both the doctor and departmental level. I expect PKLI Hospital to take this matter seriously and provide a formal response along with corrective action</t>
        </is>
      </c>
      <c r="Z22" s="19" t="inlineStr">
        <is>
          <t>1. Communication Gap - Service delay form not initiated. 2. Alternative consultant not available.</t>
        </is>
      </c>
      <c r="AA22" s="19" t="inlineStr">
        <is>
          <t>1. Good communication (Initiation of service delay forms. 2. Alternative consulation availability in case of delay.</t>
        </is>
      </c>
      <c r="AB22" s="19" t="n"/>
      <c r="AC22" s="19" t="inlineStr">
        <is>
          <t>Y</t>
        </is>
      </c>
      <c r="AD22" s="19" t="n">
        <v>1</v>
      </c>
    </row>
    <row r="23">
      <c r="A23" s="19" t="n">
        <v>22</v>
      </c>
      <c r="B23" s="19" t="n">
        <v>2026</v>
      </c>
      <c r="C23" s="19" t="inlineStr">
        <is>
          <t>January</t>
        </is>
      </c>
      <c r="D23" s="19" t="n">
        <v>46038</v>
      </c>
      <c r="E23" s="19" t="inlineStr">
        <is>
          <t>C-001-16-01-2026</t>
        </is>
      </c>
      <c r="F23" s="19" t="n"/>
      <c r="G23" s="19" t="n"/>
      <c r="H23" s="19" t="n"/>
      <c r="I23" s="19" t="n"/>
      <c r="J23" s="19" t="n"/>
      <c r="K23" s="19" t="n"/>
      <c r="L23" s="19" t="n">
        <v>46038</v>
      </c>
      <c r="M23" s="19" t="n">
        <v>46023</v>
      </c>
      <c r="N23" s="19" t="inlineStr">
        <is>
          <t>20-Jan-26 4 pm</t>
        </is>
      </c>
      <c r="O23" s="19" t="inlineStr">
        <is>
          <t>20-Jan-26</t>
        </is>
      </c>
      <c r="P23" s="19" t="inlineStr">
        <is>
          <t>4 pm</t>
        </is>
      </c>
      <c r="Q23" s="19" t="inlineStr">
        <is>
          <t>Laboratory</t>
        </is>
      </c>
      <c r="R23" s="19" t="n">
        <v>46041</v>
      </c>
      <c r="S23" s="19" t="inlineStr">
        <is>
          <t>Ms. Tayyaba</t>
        </is>
      </c>
      <c r="T23" s="19" t="n">
        <v>46041</v>
      </c>
      <c r="U23" s="19" t="inlineStr">
        <is>
          <t>(Blank)</t>
        </is>
      </c>
      <c r="V23" s="19" t="inlineStr">
        <is>
          <t>COVID Report Delay</t>
        </is>
      </c>
      <c r="W23" s="19" t="inlineStr">
        <is>
          <t>Major</t>
        </is>
      </c>
      <c r="X23" s="19" t="inlineStr">
        <is>
          <t>Yes</t>
        </is>
      </c>
      <c r="Y23" s="19" t="inlineStr">
        <is>
          <t>Patient Ali Asghar was admitted to IPD 6 (Room.#.604). His COVID-19 sample was collected on 13-01-2026 1458 hours, with the expectation that the report would be issued within the standard stipulated time. However, the laboratory reported the result on 15-01-2026, 0831 hours on the day of the planned procedure. There was no intimation from the lab regarding delay to the relevant department, which is an unacceptable delay considering the urgency involved. Due to the non-availability of the COVID-19 test report on time, the planned liver transplant surgery could have been deferred, causing significant inconvenience. I request you to kindly look into this matter seriously and take necessary corrective action to ensure that such lapses do not recur in the future.</t>
        </is>
      </c>
      <c r="Z23" s="19" t="inlineStr">
        <is>
          <t>Sample was placed in the refrigerator without takng receiving from the molecular pathology section.</t>
        </is>
      </c>
      <c r="AA23" s="19" t="inlineStr">
        <is>
          <t>Refresher training has been given for dipatching all samples through the dispatch sheet, to SMD staff.</t>
        </is>
      </c>
      <c r="AB23" s="19" t="n"/>
      <c r="AC23" s="19" t="n"/>
      <c r="AD23" s="19" t="n">
        <v>1</v>
      </c>
    </row>
    <row r="24">
      <c r="A24" s="19" t="n">
        <v>23</v>
      </c>
      <c r="B24" s="19" t="n">
        <v>2026</v>
      </c>
      <c r="C24" s="19" t="inlineStr">
        <is>
          <t>January</t>
        </is>
      </c>
      <c r="D24" s="19" t="n">
        <v>46041</v>
      </c>
      <c r="E24" s="19" t="inlineStr">
        <is>
          <t>C-001-19-01-2026</t>
        </is>
      </c>
      <c r="F24" s="19" t="n"/>
      <c r="G24" s="19" t="n"/>
      <c r="H24" s="19" t="n"/>
      <c r="I24" s="19" t="n"/>
      <c r="J24" s="19" t="n"/>
      <c r="K24" s="19" t="n"/>
      <c r="L24" s="19" t="n">
        <v>46041</v>
      </c>
      <c r="M24" s="19" t="n">
        <v>46041</v>
      </c>
      <c r="N24" s="19" t="inlineStr">
        <is>
          <t>21-Jan-26 4 pm</t>
        </is>
      </c>
      <c r="O24" s="19" t="inlineStr">
        <is>
          <t>21-Jan-26</t>
        </is>
      </c>
      <c r="P24" s="19" t="inlineStr">
        <is>
          <t>4 pm</t>
        </is>
      </c>
      <c r="Q24" s="19" t="inlineStr">
        <is>
          <t>Nuclear Medicine</t>
        </is>
      </c>
      <c r="R24" s="19" t="n">
        <v>46042</v>
      </c>
      <c r="S24" s="19" t="inlineStr">
        <is>
          <t>Amjad Rashid</t>
        </is>
      </c>
      <c r="T24" s="19" t="n"/>
      <c r="U24" s="19" t="inlineStr">
        <is>
          <t>(Blank)</t>
        </is>
      </c>
      <c r="V24" s="19" t="inlineStr">
        <is>
          <t>PET Scan Denial</t>
        </is>
      </c>
      <c r="W24" s="19" t="inlineStr">
        <is>
          <t>Major</t>
        </is>
      </c>
      <c r="X24" s="19" t="inlineStr">
        <is>
          <t>Yes</t>
        </is>
      </c>
      <c r="Y24" s="19" t="inlineStr">
        <is>
          <t>PET Scan refused - Despite being eligible for Health Card assistance, the patient was repeatedly denied a recommended PET CT scan . Once they said machine is out of order and again they said that you are not eligible for it.</t>
        </is>
      </c>
      <c r="Z24" s="19" t="n"/>
      <c r="AA24" s="19" t="n"/>
      <c r="AB24" s="19" t="n"/>
      <c r="AC24" s="19" t="n"/>
      <c r="AD24" s="19" t="n">
        <v>1</v>
      </c>
    </row>
    <row r="25">
      <c r="A25" s="19" t="n">
        <v>24</v>
      </c>
      <c r="B25" s="19" t="n">
        <v>2026</v>
      </c>
      <c r="C25" s="19" t="inlineStr">
        <is>
          <t>January</t>
        </is>
      </c>
      <c r="D25" s="19" t="n">
        <v>46041</v>
      </c>
      <c r="E25" s="19" t="inlineStr">
        <is>
          <t>C-002-19-01-2026</t>
        </is>
      </c>
      <c r="F25" s="19" t="n">
        <v>46041</v>
      </c>
      <c r="G25" s="19" t="n"/>
      <c r="H25" s="19" t="n"/>
      <c r="I25" s="19" t="n"/>
      <c r="J25" s="19" t="n"/>
      <c r="K25" s="19" t="n"/>
      <c r="L25" s="19" t="n">
        <v>46043</v>
      </c>
      <c r="M25" s="19" t="n">
        <v>46041</v>
      </c>
      <c r="N25" s="19" t="inlineStr">
        <is>
          <t>21-Jan-26 4 pm</t>
        </is>
      </c>
      <c r="O25" s="19" t="inlineStr">
        <is>
          <t>21-Jan-26</t>
        </is>
      </c>
      <c r="P25" s="19" t="inlineStr">
        <is>
          <t>4 pm</t>
        </is>
      </c>
      <c r="Q25" s="19" t="inlineStr">
        <is>
          <t>IPD SICU</t>
        </is>
      </c>
      <c r="R25" s="19" t="n">
        <v>46043</v>
      </c>
      <c r="S25" s="19" t="inlineStr">
        <is>
          <t>Mr. Bilal Ms. Tahira</t>
        </is>
      </c>
      <c r="T25" s="19" t="inlineStr">
        <is>
          <t>18-Jan-26</t>
        </is>
      </c>
      <c r="U25" s="19" t="inlineStr">
        <is>
          <t>(Blank)</t>
        </is>
      </c>
      <c r="V25" s="19" t="inlineStr">
        <is>
          <t>Recovery Transfer Delay</t>
        </is>
      </c>
      <c r="W25" s="19" t="inlineStr">
        <is>
          <t>Moderate</t>
        </is>
      </c>
      <c r="X25" s="19" t="inlineStr">
        <is>
          <t>Yes</t>
        </is>
      </c>
      <c r="Y25" s="19" t="inlineStr">
        <is>
          <t>This patient came from IPD#5 with Airborne Contact isolation for open benign Nephrectomy. surgery smoothly and safely done. As per PKLI policy, started recovery inside OR #9 from 1300Hours. Normal recovery time is 30 minutes if the patient is OK, we can move to the floor. This patient was waiting for SICU bed. SICU ASL reply that they will provide bed at 1600 hours. This is long recovery without any reason and patient stay in OR with contact isolation.</t>
        </is>
      </c>
      <c r="Z25" s="19" t="n"/>
      <c r="AA25" s="19" t="n"/>
      <c r="AB25" s="19" t="n"/>
      <c r="AC25" s="19" t="n"/>
      <c r="AD25" s="19" t="n">
        <v>1</v>
      </c>
    </row>
    <row r="26">
      <c r="A26" s="19" t="n">
        <v>25</v>
      </c>
      <c r="B26" s="19" t="n">
        <v>2026</v>
      </c>
      <c r="C26" s="19" t="inlineStr">
        <is>
          <t>January</t>
        </is>
      </c>
      <c r="D26" s="19" t="n">
        <v>46041</v>
      </c>
      <c r="E26" s="19" t="inlineStr">
        <is>
          <t>C-003-19-01-2026</t>
        </is>
      </c>
      <c r="F26" s="19" t="n"/>
      <c r="G26" s="19" t="n"/>
      <c r="H26" s="19" t="n"/>
      <c r="I26" s="19" t="n"/>
      <c r="J26" s="19" t="n"/>
      <c r="K26" s="19" t="n"/>
      <c r="L26" s="19" t="n">
        <v>46041</v>
      </c>
      <c r="M26" s="19" t="n">
        <v>46042</v>
      </c>
      <c r="N26" s="19" t="inlineStr">
        <is>
          <t>22-Jan-26 2 pm</t>
        </is>
      </c>
      <c r="O26" s="19" t="inlineStr">
        <is>
          <t>22-Jan-26</t>
        </is>
      </c>
      <c r="P26" s="19" t="inlineStr">
        <is>
          <t>2 pm</t>
        </is>
      </c>
      <c r="Q26" s="19" t="inlineStr">
        <is>
          <t>FInancial Screening</t>
        </is>
      </c>
      <c r="R26" s="19" t="n">
        <v>46042</v>
      </c>
      <c r="S26" s="19" t="inlineStr">
        <is>
          <t>Zameer-ul-Hassan</t>
        </is>
      </c>
      <c r="T26" s="19" t="n">
        <v>46041</v>
      </c>
      <c r="U26" s="19" t="inlineStr">
        <is>
          <t>(Blank)</t>
        </is>
      </c>
      <c r="V26" s="19" t="inlineStr">
        <is>
          <t>Financial Screening Delay</t>
        </is>
      </c>
      <c r="W26" s="19" t="inlineStr">
        <is>
          <t>Moderate</t>
        </is>
      </c>
      <c r="X26" s="19" t="inlineStr">
        <is>
          <t>Yes</t>
        </is>
      </c>
      <c r="Y26" s="19" t="inlineStr">
        <is>
          <t>FS delayed for 8 months - FS departments said that they will send the team for investigation but they havn't sent it for 8 months. Patient's father condition is not good and urgent surgery is needed.</t>
        </is>
      </c>
      <c r="Z26" s="19" t="inlineStr">
        <is>
          <t>No gap identified - The patient was fully supported for primary assessment as partially supported for secindary assessment. However as he wants 100% FS , he never visited FS department for this concern.</t>
        </is>
      </c>
      <c r="AA26" s="19" t="inlineStr">
        <is>
          <t>The patient was called and asked to visit FS department alogwith the treatment plan.</t>
        </is>
      </c>
      <c r="AB26" s="19" t="n"/>
      <c r="AC26" s="19" t="inlineStr">
        <is>
          <t>Y</t>
        </is>
      </c>
      <c r="AD26" s="19" t="n">
        <v>1</v>
      </c>
    </row>
    <row r="27">
      <c r="A27" s="19" t="n">
        <v>26</v>
      </c>
      <c r="B27" s="19" t="n">
        <v>2026</v>
      </c>
      <c r="C27" s="19" t="inlineStr">
        <is>
          <t>January</t>
        </is>
      </c>
      <c r="D27" s="19" t="n">
        <v>46043</v>
      </c>
      <c r="E27" s="19" t="inlineStr">
        <is>
          <t>C-001-21-01-2026</t>
        </is>
      </c>
      <c r="F27" s="19" t="n">
        <v>46049</v>
      </c>
      <c r="G27" s="19" t="n"/>
      <c r="H27" s="19" t="n"/>
      <c r="I27" s="19" t="n"/>
      <c r="J27" s="19" t="n"/>
      <c r="K27" s="19" t="n"/>
      <c r="L27" s="19" t="n">
        <v>46043</v>
      </c>
      <c r="M27" s="19" t="n">
        <v>46043</v>
      </c>
      <c r="N27" s="19" t="inlineStr">
        <is>
          <t>24-Jan-26 2 pm</t>
        </is>
      </c>
      <c r="O27" s="19" t="inlineStr">
        <is>
          <t>24-Jan-26</t>
        </is>
      </c>
      <c r="P27" s="19" t="inlineStr">
        <is>
          <t>2 pm</t>
        </is>
      </c>
      <c r="Q27" s="19" t="inlineStr">
        <is>
          <t>Nursing</t>
        </is>
      </c>
      <c r="R27" s="19" t="n">
        <v>46044</v>
      </c>
      <c r="S27" s="19" t="inlineStr">
        <is>
          <t>Ms. Tahira</t>
        </is>
      </c>
      <c r="T27" s="19" t="inlineStr">
        <is>
          <t>Received</t>
        </is>
      </c>
      <c r="U27" s="19" t="inlineStr">
        <is>
          <t>(Blank)</t>
        </is>
      </c>
      <c r="V27" s="19" t="inlineStr">
        <is>
          <t>Dialysis Bed Denial</t>
        </is>
      </c>
      <c r="W27" s="19" t="inlineStr">
        <is>
          <t>Minor</t>
        </is>
      </c>
      <c r="X27" s="19" t="inlineStr">
        <is>
          <t>No</t>
        </is>
      </c>
      <c r="Y27" s="19" t="inlineStr">
        <is>
          <t>The patient is a regularly scheduled dialysis patient. But on 20th January when we arrived at the dialysis Unit 2 before 6pm. But the staff gave away the bed to another patient. And then treated the patient disrespectfully. Very inconvenient, annoying and disappointing.</t>
        </is>
      </c>
      <c r="Z27" s="19" t="inlineStr">
        <is>
          <t>No gap was identified as the patient arrived late from the scheduled time while his equipment was ready which was then used for an urgent case. When the patient arrived ( after half an hour) he was promptly accomodated on the next available machine.</t>
        </is>
      </c>
      <c r="AA27" s="19" t="inlineStr">
        <is>
          <t>Not Required.</t>
        </is>
      </c>
      <c r="AB27" s="19" t="n"/>
      <c r="AC27" s="19" t="inlineStr">
        <is>
          <t>Y</t>
        </is>
      </c>
      <c r="AD27" s="19" t="n">
        <v>1</v>
      </c>
    </row>
    <row r="28">
      <c r="A28" s="19" t="n">
        <v>27</v>
      </c>
      <c r="B28" s="19" t="n">
        <v>2026</v>
      </c>
      <c r="C28" s="19" t="inlineStr">
        <is>
          <t>January</t>
        </is>
      </c>
      <c r="D28" s="19" t="n">
        <v>46045</v>
      </c>
      <c r="E28" s="19" t="inlineStr">
        <is>
          <t>C-001-23-01-2026</t>
        </is>
      </c>
      <c r="F28" s="19" t="n">
        <v>46049</v>
      </c>
      <c r="G28" s="19" t="inlineStr">
        <is>
          <t>Tanveer Hussain</t>
        </is>
      </c>
      <c r="H28" s="19" t="n">
        <v>661884</v>
      </c>
      <c r="I28" s="19" t="inlineStr">
        <is>
          <t>Tanveer Hussain</t>
        </is>
      </c>
      <c r="J28" s="19" t="inlineStr">
        <is>
          <t>0300-4211643</t>
        </is>
      </c>
      <c r="K28" s="19" t="inlineStr">
        <is>
          <t>Lahore</t>
        </is>
      </c>
      <c r="L28" s="19" t="n">
        <v>46045</v>
      </c>
      <c r="M28" s="19" t="n">
        <v>46045</v>
      </c>
      <c r="N28" s="19" t="inlineStr">
        <is>
          <t>27-Jan-26 4 pm</t>
        </is>
      </c>
      <c r="O28" s="19" t="inlineStr">
        <is>
          <t>27-Jan-26</t>
        </is>
      </c>
      <c r="P28" s="19" t="inlineStr">
        <is>
          <t>4 pm</t>
        </is>
      </c>
      <c r="Q28" s="19" t="inlineStr">
        <is>
          <t>Radiology</t>
        </is>
      </c>
      <c r="R28" s="19" t="n">
        <v>46048</v>
      </c>
      <c r="S28" s="19" t="inlineStr">
        <is>
          <t>Abdul Qudoos</t>
        </is>
      </c>
      <c r="T28" s="19" t="n">
        <v>46139</v>
      </c>
      <c r="U28" s="19" t="inlineStr">
        <is>
          <t>Medical Directorate</t>
        </is>
      </c>
      <c r="V28" s="19" t="inlineStr">
        <is>
          <t>Consultation not provided</t>
        </is>
      </c>
      <c r="W28" s="19" t="inlineStr">
        <is>
          <t>Moderate</t>
        </is>
      </c>
      <c r="X28" s="19" t="inlineStr">
        <is>
          <t>Yes</t>
        </is>
      </c>
      <c r="Y28" s="19" t="inlineStr">
        <is>
          <t>باعرضِ گزارش ہے کہ سائل ڈائیلاسز کا مریض ہے۔ مورخہ 8 جنوری 2026 کو سائل کا فسٹیولوپلاسٹی پرو سیجر ڈاکٹر رمضان صاحب نے انجام دیا۔ مذکورہ پروسیجر کے بعد ڈاکٹر صاحب نے ہدایت فرمائی تھی کہ ایک ہفتے بعد او پی ڈی میں فالو اَپ کے لیے دوبارہ چیک کروایا جائے تاکہ کسی بھی ممکنہ مسئلے کا بروقت جائزہ لیا جا سکے۔ ‎ڈاکٹر صاحب کی ہدایات کے مطابق سائل نے بذریعہ ٹیلی فون (Interventional Radiology) ڈیپارٹمنٹ میں اپائنٹمنٹ حاصل کی، جس کی تصدیقی کال بھی سائل کو ایک دن قبل موصول ہوئی تھی، مزید یہ کہ اس کال کی ریکارڈنگ بھی سائل کے پاس موجود ہے۔ ‎تاہم آج جب سائل مقررہ تاریخ پر پہنچا تو وہاں یہ کہا گیا کہ سائل کا نام اپائنٹمنٹ لسٹ میں موجود نہیں ہے۔ میں۔IR department OPD اس غفلت اور بدانتظامی کی وجہ سے سائل کو شدید ذہنی کوفت کا سامنا کرنا پڑا، جبکہ سائل کو 3000 روپے کرایہ خرچ کر کے بلاوجہ آنا پڑا، جو کہ نہایت افسوسناک ہے۔ ‎لہٰذا مؤدبانہ گزارش ہے کہ اس معاملے کا نوٹس لیا جائے، ذمہ داران کے خلاف کارروائی کی جائے اور آئندہ اس قسم کی کوتاہی سے بچنے کے لیے مناسب اقدامات کیے جائیں۔</t>
        </is>
      </c>
      <c r="Z28" s="19" t="n"/>
      <c r="AA28" s="19" t="n"/>
      <c r="AB28" s="19" t="n"/>
      <c r="AC28" s="19" t="n"/>
      <c r="AD28" s="19" t="n">
        <v>1</v>
      </c>
    </row>
    <row r="29">
      <c r="A29" s="19" t="n">
        <v>28</v>
      </c>
      <c r="B29" s="19" t="n">
        <v>2026</v>
      </c>
      <c r="C29" s="19" t="inlineStr">
        <is>
          <t>January</t>
        </is>
      </c>
      <c r="D29" s="19" t="n">
        <v>46045</v>
      </c>
      <c r="E29" s="19" t="inlineStr">
        <is>
          <t>C-002-23-01-2026</t>
        </is>
      </c>
      <c r="F29" s="19" t="n">
        <v>46049</v>
      </c>
      <c r="G29" s="19" t="n"/>
      <c r="H29" s="19" t="n"/>
      <c r="I29" s="19" t="n"/>
      <c r="J29" s="19" t="n"/>
      <c r="K29" s="19" t="n"/>
      <c r="L29" s="19" t="n">
        <v>46045</v>
      </c>
      <c r="M29" s="19" t="n">
        <v>46045</v>
      </c>
      <c r="N29" s="19" t="inlineStr">
        <is>
          <t>27-Jan-26 4 pm</t>
        </is>
      </c>
      <c r="O29" s="19" t="inlineStr">
        <is>
          <t>27-Jan-26</t>
        </is>
      </c>
      <c r="P29" s="19" t="inlineStr">
        <is>
          <t>4 pm</t>
        </is>
      </c>
      <c r="Q29" s="19" t="inlineStr">
        <is>
          <t>AMU</t>
        </is>
      </c>
      <c r="R29" s="19" t="n">
        <v>46048</v>
      </c>
      <c r="S29" s="19" t="inlineStr">
        <is>
          <t>Dr. Sheri</t>
        </is>
      </c>
      <c r="T29" s="19" t="n"/>
      <c r="U29" s="19" t="inlineStr">
        <is>
          <t>(Blank)</t>
        </is>
      </c>
      <c r="V29" s="19" t="inlineStr">
        <is>
          <t>Emergency Bed Unavailability</t>
        </is>
      </c>
      <c r="W29" s="19" t="inlineStr">
        <is>
          <t>Serious</t>
        </is>
      </c>
      <c r="X29" s="19" t="inlineStr">
        <is>
          <t>Yes</t>
        </is>
      </c>
      <c r="Y29" s="19" t="inlineStr">
        <is>
          <t>Patient came in AMU at 2000H with shortness of breath, and tachycardia. oxygen saturation was 52% @ full flow nonrebreather mask. but all the beds in AMU were occupied including RESUSCITATION AREA. according to triage policy of AMU, RESUSCITATION area is dedicated to those patient with P1 priority and no waiting time, one patient in RESUSCITATION came with low blood pressure and other patient came with hyperkalaemia. these two patients can be managed outside RESUSCITATION area in main AMU and the patient M. IMRAN was potential candidate for RESUSCITATION area bed. but due to poor bed management of doctors, there was no bed available for M. IMRAN. On duty REG. Dr AQSA called Dr Zainab Atiq (Consultant AMU) and told her about the situation. but she (Dr Zainab) told to ask the on-duty TL for extra bed. When I refused and reminded Dr Zainab that madam this is against hospital policy to do Extension or extra beds also MEDICAL DIRECTOR DR. MOBEEN orders not to allow extra or extension beds, she (DR ZAINAB ATIQ) threatened me to complain against me, but I was only following the policy and orders of Medical Director DR. Mobeen. RESUSCITATION Area is the most critical area of AMU and dedicated to those patients which are critically ill, but AMU doctors do poor management and enter those patient in RESUSCITATION Area which are not candidate for RESUSCITATION and can be managed in main AMU ward. also, patients are retained in AMU for more than 24 hours whereas policy says decision should be made within 24 hours, but they are retained up to 2 to 3 days. also, there is no specified area for Paediatric patient, All the AMU staff face very difficult situations on daily basis due to this poor management and lack of decision making. I would also mention that patients are asked to wait in the waiting area till the availability of bed due to which they suffer a lot. most of the times they have to wait up to 24 hours or more depending upon the bed situation inside AMU. Whereas policy says if no bed available then patient should be referred to nearest tertiary care facility.... I KINDLY REQUEST TO HIGHER MANAGEMENT TO PLEASE ADDRESS THESE ISSUES TO MAINTAIN QUALITY OF PATIENT CARE AS PER HOSPITAL AND JCI POLICIES.</t>
        </is>
      </c>
      <c r="Z29" s="19" t="n"/>
      <c r="AA29" s="19" t="n"/>
      <c r="AB29" s="19" t="n"/>
      <c r="AC29" s="19" t="n"/>
      <c r="AD29" s="19" t="n">
        <v>1</v>
      </c>
    </row>
    <row r="30">
      <c r="A30" s="19" t="n">
        <v>29</v>
      </c>
      <c r="B30" s="19" t="n">
        <v>2026</v>
      </c>
      <c r="C30" s="19" t="inlineStr">
        <is>
          <t>January</t>
        </is>
      </c>
      <c r="D30" s="19" t="n">
        <v>46048</v>
      </c>
      <c r="E30" s="19" t="inlineStr">
        <is>
          <t>C-001-26-01-2026</t>
        </is>
      </c>
      <c r="F30" s="19" t="n">
        <v>46049</v>
      </c>
      <c r="G30" s="19" t="n"/>
      <c r="H30" s="19" t="n"/>
      <c r="I30" s="19" t="n"/>
      <c r="J30" s="19" t="n"/>
      <c r="K30" s="19" t="n"/>
      <c r="L30" s="19" t="n">
        <v>46048</v>
      </c>
      <c r="M30" s="19" t="n">
        <v>46048</v>
      </c>
      <c r="N30" s="19" t="inlineStr">
        <is>
          <t>28-Jan-26 4 pm</t>
        </is>
      </c>
      <c r="O30" s="19" t="inlineStr">
        <is>
          <t>28-Jan-26</t>
        </is>
      </c>
      <c r="P30" s="19" t="inlineStr">
        <is>
          <t>4 pm</t>
        </is>
      </c>
      <c r="Q30" s="19" t="inlineStr">
        <is>
          <t>Dean office</t>
        </is>
      </c>
      <c r="R30" s="19" t="n">
        <v>46049</v>
      </c>
      <c r="S30" s="19" t="inlineStr">
        <is>
          <t>Mr. Haris</t>
        </is>
      </c>
      <c r="T30" s="19" t="n"/>
      <c r="U30" s="19" t="inlineStr">
        <is>
          <t>(Blank)</t>
        </is>
      </c>
      <c r="V30" s="19" t="inlineStr">
        <is>
          <t>Surgery Cancellation</t>
        </is>
      </c>
      <c r="W30" s="19" t="inlineStr">
        <is>
          <t>Moderate</t>
        </is>
      </c>
      <c r="X30" s="19" t="inlineStr">
        <is>
          <t>Yes</t>
        </is>
      </c>
      <c r="Y30" s="19" t="inlineStr">
        <is>
          <t>Surgery delayed - Patient underwent the labs and anaesthesia fitness twice but unable to get the surgery date as both the times her appoinment got cancelled. Moreover the staff Asma beahved very rudely during her visit.</t>
        </is>
      </c>
      <c r="Z30" s="19" t="n"/>
      <c r="AA30" s="19" t="n"/>
      <c r="AB30" s="19" t="n"/>
      <c r="AC30" s="19" t="n"/>
      <c r="AD30" s="19" t="n">
        <v>1</v>
      </c>
    </row>
    <row r="31">
      <c r="A31" s="19" t="n">
        <v>30</v>
      </c>
      <c r="B31" s="19" t="n">
        <v>2026</v>
      </c>
      <c r="C31" s="19" t="inlineStr">
        <is>
          <t>January</t>
        </is>
      </c>
      <c r="D31" s="19" t="n">
        <v>46050</v>
      </c>
      <c r="E31" s="19" t="inlineStr">
        <is>
          <t>C-001-28-01-2026</t>
        </is>
      </c>
      <c r="F31" s="19" t="n">
        <v>46052</v>
      </c>
      <c r="G31" s="19" t="n"/>
      <c r="H31" s="19" t="n"/>
      <c r="I31" s="19" t="n"/>
      <c r="J31" s="19" t="n"/>
      <c r="K31" s="19" t="n"/>
      <c r="L31" s="19" t="n">
        <v>46050</v>
      </c>
      <c r="M31" s="19" t="n">
        <v>46051</v>
      </c>
      <c r="N31" s="19" t="inlineStr">
        <is>
          <t>4-Feb-26 4 pm</t>
        </is>
      </c>
      <c r="O31" s="19" t="inlineStr">
        <is>
          <t>4-Feb-26</t>
        </is>
      </c>
      <c r="P31" s="19" t="inlineStr">
        <is>
          <t>4 pm</t>
        </is>
      </c>
      <c r="Q31" s="19" t="inlineStr">
        <is>
          <t>Nursing</t>
        </is>
      </c>
      <c r="R31" s="19" t="n">
        <v>46052</v>
      </c>
      <c r="S31" s="19" t="inlineStr">
        <is>
          <t>Ms. Tahira</t>
        </is>
      </c>
      <c r="T31" s="19" t="n"/>
      <c r="U31" s="19" t="inlineStr">
        <is>
          <t>(Blank)</t>
        </is>
      </c>
      <c r="V31" s="19" t="inlineStr">
        <is>
          <t>Surgical Instrument Incomplete</t>
        </is>
      </c>
      <c r="W31" s="19" t="inlineStr">
        <is>
          <t>Minor</t>
        </is>
      </c>
      <c r="X31" s="19" t="inlineStr">
        <is>
          <t>No</t>
        </is>
      </c>
      <c r="Y31" s="19" t="inlineStr">
        <is>
          <t>Mr. Abdul Rehman received the LTx Micro set 01 on date 19 January 2026 from the x-shift staff Mr. Ahsan Afzal U.ID 3364 and received the set according to the checklist in Decontamination Area that the set was complete. Personal decontamination responsibility that checked and counted the set of equipment according to the checklist and run the washer disinfector cycle. After the washer disinfector cycle was completed, the instrument received from washer disinfector in packing area, in packing area Mr. Muhammad Feroz U.ID 1346 reassembled the LTX Micro set 01 then informed Mr. Abdul Rehman and Team Leader Mr. Muhammad Shahbaz U.ID 000791 that the Probe Dilator “MB 248 ‘was missing from the set</t>
        </is>
      </c>
      <c r="Z31" s="19" t="n"/>
      <c r="AA31" s="19" t="n"/>
      <c r="AB31" s="19" t="n"/>
      <c r="AC31" s="19" t="n"/>
      <c r="AD31" s="19" t="n">
        <v>1</v>
      </c>
    </row>
    <row r="32">
      <c r="A32" s="19" t="n">
        <v>31</v>
      </c>
      <c r="B32" s="19" t="n">
        <v>2026</v>
      </c>
      <c r="C32" s="19" t="inlineStr">
        <is>
          <t>January</t>
        </is>
      </c>
      <c r="D32" s="19" t="n">
        <v>46050</v>
      </c>
      <c r="E32" s="19" t="inlineStr">
        <is>
          <t>C-002-28-01-2026</t>
        </is>
      </c>
      <c r="F32" s="19" t="n">
        <v>46052</v>
      </c>
      <c r="G32" s="19" t="inlineStr">
        <is>
          <t>Mulazim Hussain</t>
        </is>
      </c>
      <c r="H32" s="19" t="n">
        <v>1127775</v>
      </c>
      <c r="I32" s="19" t="inlineStr">
        <is>
          <t>Abdulquyum</t>
        </is>
      </c>
      <c r="J32" s="19" t="inlineStr">
        <is>
          <t>0306-7600490</t>
        </is>
      </c>
      <c r="K32" s="19" t="n"/>
      <c r="L32" s="19" t="n">
        <v>46050</v>
      </c>
      <c r="M32" s="19" t="n">
        <v>46051</v>
      </c>
      <c r="N32" s="19" t="inlineStr">
        <is>
          <t>4-Feb-26 2 pm</t>
        </is>
      </c>
      <c r="O32" s="19" t="n">
        <v>46051</v>
      </c>
      <c r="P32" s="19" t="inlineStr">
        <is>
          <t>2 pm</t>
        </is>
      </c>
      <c r="Q32" s="19" t="inlineStr">
        <is>
          <t>FNSD</t>
        </is>
      </c>
      <c r="R32" s="19" t="n">
        <v>46052</v>
      </c>
      <c r="S32" s="19" t="inlineStr">
        <is>
          <t>Ms.Tahira Ms. Farwa</t>
        </is>
      </c>
      <c r="T32" s="19" t="inlineStr">
        <is>
          <t>Received</t>
        </is>
      </c>
      <c r="U32" s="19" t="inlineStr">
        <is>
          <t>Hospital Directorate</t>
        </is>
      </c>
      <c r="V32" s="19" t="inlineStr">
        <is>
          <t>Incorrect Billing</t>
        </is>
      </c>
      <c r="W32" s="19" t="inlineStr">
        <is>
          <t>Minor</t>
        </is>
      </c>
      <c r="X32" s="19" t="inlineStr">
        <is>
          <t>Yes</t>
        </is>
      </c>
      <c r="Y32" s="19" t="inlineStr">
        <is>
          <t>Our patient was NPO for two days. We didn’t have meal even after that, but we were charged for the food. On first day we took only 1 cold drink and tea which cost almost Rs. 300/ only. It is requested to pay back our money.</t>
        </is>
      </c>
      <c r="Z32" s="19" t="inlineStr">
        <is>
          <t>FNSD: No gap identified from as the diet charged was entered in the system.</t>
        </is>
      </c>
      <c r="AA32" s="19" t="inlineStr">
        <is>
          <t>Not Required</t>
        </is>
      </c>
      <c r="AB32" s="19" t="n"/>
      <c r="AC32" s="19" t="inlineStr">
        <is>
          <t>Y</t>
        </is>
      </c>
      <c r="AD32" s="19" t="n">
        <v>1</v>
      </c>
    </row>
    <row r="33">
      <c r="A33" s="19" t="n">
        <v>32</v>
      </c>
      <c r="B33" s="19" t="n">
        <v>2026</v>
      </c>
      <c r="C33" s="19" t="inlineStr">
        <is>
          <t>February</t>
        </is>
      </c>
      <c r="D33" s="19" t="n">
        <v>46062</v>
      </c>
      <c r="E33" s="19" t="inlineStr">
        <is>
          <t>C-001-09-02-2026</t>
        </is>
      </c>
      <c r="F33" s="19" t="n"/>
      <c r="G33" s="19" t="n"/>
      <c r="H33" s="19" t="n"/>
      <c r="I33" s="19" t="n"/>
      <c r="J33" s="19" t="n"/>
      <c r="K33" s="19" t="n"/>
      <c r="L33" s="19" t="n">
        <v>46062</v>
      </c>
      <c r="M33" s="19" t="n">
        <v>46062</v>
      </c>
      <c r="N33" s="19" t="inlineStr">
        <is>
          <t>12-Feb-26 4 PM</t>
        </is>
      </c>
      <c r="O33" s="19" t="inlineStr">
        <is>
          <t>12-Feb-26</t>
        </is>
      </c>
      <c r="P33" s="19" t="inlineStr">
        <is>
          <t>4 PM</t>
        </is>
      </c>
      <c r="Q33" s="19" t="inlineStr">
        <is>
          <t>Billing / Finance</t>
        </is>
      </c>
      <c r="R33" s="19" t="n">
        <v>46062</v>
      </c>
      <c r="S33" s="19" t="inlineStr">
        <is>
          <t>Mr. Naveed Tahir</t>
        </is>
      </c>
      <c r="T33" s="19" t="inlineStr">
        <is>
          <t>Received</t>
        </is>
      </c>
      <c r="U33" s="19" t="inlineStr">
        <is>
          <t>(Blank)</t>
        </is>
      </c>
      <c r="V33" s="19" t="inlineStr">
        <is>
          <t>Critical Medication Delay</t>
        </is>
      </c>
      <c r="W33" s="19" t="inlineStr">
        <is>
          <t>Major</t>
        </is>
      </c>
      <c r="X33" s="19" t="inlineStr">
        <is>
          <t>No</t>
        </is>
      </c>
      <c r="Y33" s="19" t="inlineStr">
        <is>
          <t>Bushra Hafiza is a patient of Kidney transplant. Today, we reached 6:30 for lab tests, but the Sehat card personals weren’t responding and our test got delayed to 7:20pm. The most critical medicine of renal transplant, Tacrolimus got delayed. And same thing happened yesterday. So, what’s your point of JCI Accreditation? Wasting patient’s time on purpose? Also, now doctor has asked for follow up after we receive the reports. And thanks to your useless patient LMS, you don’t have any patient portal where we can see progress of reports. Great.</t>
        </is>
      </c>
      <c r="Z33" s="19" t="inlineStr">
        <is>
          <t>No Gap identified as the patient arrived at 6:30am, sehat card approval requested at 6:38 and received at 6:43.</t>
        </is>
      </c>
      <c r="AA33" s="19" t="inlineStr">
        <is>
          <t>Not Required.</t>
        </is>
      </c>
      <c r="AB33" s="19" t="n"/>
      <c r="AC33" s="19" t="inlineStr">
        <is>
          <t>Y</t>
        </is>
      </c>
      <c r="AD33" s="19" t="n">
        <v>1</v>
      </c>
    </row>
    <row r="34">
      <c r="A34" s="19" t="n">
        <v>33</v>
      </c>
      <c r="B34" s="19" t="n">
        <v>2026</v>
      </c>
      <c r="C34" s="19" t="inlineStr">
        <is>
          <t>February</t>
        </is>
      </c>
      <c r="D34" s="19" t="n">
        <v>46063</v>
      </c>
      <c r="E34" s="19" t="inlineStr">
        <is>
          <t>C-001-10-02-2026</t>
        </is>
      </c>
      <c r="F34" s="19" t="n">
        <v>46077</v>
      </c>
      <c r="G34" s="19" t="n"/>
      <c r="H34" s="19" t="n"/>
      <c r="I34" s="19" t="n"/>
      <c r="J34" s="19" t="n"/>
      <c r="K34" s="19" t="n"/>
      <c r="L34" s="19" t="n">
        <v>46063</v>
      </c>
      <c r="M34" s="19" t="n">
        <v>46063</v>
      </c>
      <c r="N34" s="19" t="inlineStr">
        <is>
          <t>10-Feb-26 12 PM</t>
        </is>
      </c>
      <c r="O34" s="19" t="inlineStr">
        <is>
          <t>10-Feb-26</t>
        </is>
      </c>
      <c r="P34" s="19" t="inlineStr">
        <is>
          <t>12 PM</t>
        </is>
      </c>
      <c r="Q34" s="19" t="inlineStr">
        <is>
          <t>Financial Screening</t>
        </is>
      </c>
      <c r="R34" s="19" t="n">
        <v>46064</v>
      </c>
      <c r="S34" s="19" t="inlineStr">
        <is>
          <t>Zameer-ul-Hassan</t>
        </is>
      </c>
      <c r="T34" s="19" t="n">
        <v>46085</v>
      </c>
      <c r="U34" s="19" t="inlineStr">
        <is>
          <t>(Blank)</t>
        </is>
      </c>
      <c r="V34" s="19" t="inlineStr">
        <is>
          <t>FS Staff Unavailability</t>
        </is>
      </c>
      <c r="W34" s="19" t="inlineStr">
        <is>
          <t>Moderate</t>
        </is>
      </c>
      <c r="X34" s="19" t="inlineStr">
        <is>
          <t>Yes</t>
        </is>
      </c>
      <c r="Y34" s="19" t="inlineStr">
        <is>
          <t>Staff Unavailability and carelessness of existing staff - A wheelchair patient arrived at 2PM as advised by the coordinator but kept waiting till 6 Pm at FS counter as Miss Ayesha (FS) who arrived at 2:45 and left at 3:20 only attended emergency patients.</t>
        </is>
      </c>
      <c r="Z34" s="19" t="inlineStr">
        <is>
          <t>The staff left workstation without adequately handing over her duties as she was feeling unwell. The other staff was absent due to family emergency and informed the AM late.</t>
        </is>
      </c>
      <c r="AA34" s="19" t="inlineStr">
        <is>
          <t>Both the staff have received cautions for their lack of responsibility. A staff was organized within 3 hours and the concerned patient admission was proceeded the same day.</t>
        </is>
      </c>
      <c r="AB34" s="19" t="n"/>
      <c r="AC34" s="19" t="inlineStr">
        <is>
          <t>Y</t>
        </is>
      </c>
      <c r="AD34" s="19" t="n">
        <v>1</v>
      </c>
    </row>
    <row r="35">
      <c r="A35" s="19" t="n">
        <v>34</v>
      </c>
      <c r="B35" s="19" t="n">
        <v>2026</v>
      </c>
      <c r="C35" s="19" t="inlineStr">
        <is>
          <t>February</t>
        </is>
      </c>
      <c r="D35" s="19" t="n">
        <v>46063</v>
      </c>
      <c r="E35" s="19" t="inlineStr">
        <is>
          <t>C-002-10-02-2026</t>
        </is>
      </c>
      <c r="F35" s="19" t="n">
        <v>46077</v>
      </c>
      <c r="G35" s="19" t="n"/>
      <c r="H35" s="19" t="n"/>
      <c r="I35" s="19" t="n"/>
      <c r="J35" s="19" t="n"/>
      <c r="K35" s="19" t="n"/>
      <c r="L35" s="19" t="n">
        <v>46063</v>
      </c>
      <c r="M35" s="19" t="n">
        <v>46063</v>
      </c>
      <c r="N35" s="19" t="inlineStr">
        <is>
          <t>10-Feb-26 12 PM</t>
        </is>
      </c>
      <c r="O35" s="19" t="inlineStr">
        <is>
          <t>10-Feb-26</t>
        </is>
      </c>
      <c r="P35" s="19" t="inlineStr">
        <is>
          <t>12 PM</t>
        </is>
      </c>
      <c r="Q35" s="19" t="inlineStr">
        <is>
          <t>Financial Screening</t>
        </is>
      </c>
      <c r="R35" s="19" t="n">
        <v>46064</v>
      </c>
      <c r="S35" s="19" t="inlineStr">
        <is>
          <t>Zameer-ul-Hassan</t>
        </is>
      </c>
      <c r="T35" s="19" t="n">
        <v>46085</v>
      </c>
      <c r="U35" s="19" t="inlineStr">
        <is>
          <t>(Blank)</t>
        </is>
      </c>
      <c r="V35" s="19" t="inlineStr">
        <is>
          <t>FS Staff Unavailability</t>
        </is>
      </c>
      <c r="W35" s="19" t="inlineStr">
        <is>
          <t>Moderate</t>
        </is>
      </c>
      <c r="X35" s="19" t="inlineStr">
        <is>
          <t>Yes</t>
        </is>
      </c>
      <c r="Y35" s="19" t="inlineStr">
        <is>
          <t>Staff Unavailability at FS Counter - Patient waiting at FS counter since 2:30 but unable to get response.</t>
        </is>
      </c>
      <c r="Z35" s="19" t="inlineStr">
        <is>
          <t>The staff left workstation without adequately handing over her duties as she was feeling unwell. The other staff was absent due to family emergency and informed the AM late.</t>
        </is>
      </c>
      <c r="AA35" s="19" t="inlineStr">
        <is>
          <t>Both the staff have received cautions for their lack of responsibility. A staff was organized within 3 hours and the concerned patient admission was proceeded the same day.</t>
        </is>
      </c>
      <c r="AB35" s="19" t="n"/>
      <c r="AC35" s="19" t="inlineStr">
        <is>
          <t>Y</t>
        </is>
      </c>
      <c r="AD35" s="19" t="n">
        <v>1</v>
      </c>
    </row>
    <row r="36">
      <c r="A36" s="19" t="n">
        <v>35</v>
      </c>
      <c r="B36" s="19" t="n">
        <v>2026</v>
      </c>
      <c r="C36" s="19" t="inlineStr">
        <is>
          <t>February</t>
        </is>
      </c>
      <c r="D36" s="19" t="n">
        <v>46063</v>
      </c>
      <c r="E36" s="19" t="inlineStr">
        <is>
          <t>C-003-10-02-2026</t>
        </is>
      </c>
      <c r="F36" s="19" t="n">
        <v>46077</v>
      </c>
      <c r="G36" s="19" t="n"/>
      <c r="H36" s="19" t="n"/>
      <c r="I36" s="19" t="n"/>
      <c r="J36" s="19" t="n"/>
      <c r="K36" s="19" t="n"/>
      <c r="L36" s="19" t="n">
        <v>46063</v>
      </c>
      <c r="M36" s="19" t="n">
        <v>46063</v>
      </c>
      <c r="N36" s="19" t="inlineStr">
        <is>
          <t>10-Feb-26 12 PM</t>
        </is>
      </c>
      <c r="O36" s="19" t="inlineStr">
        <is>
          <t>10-Feb-26</t>
        </is>
      </c>
      <c r="P36" s="19" t="inlineStr">
        <is>
          <t>12 PM</t>
        </is>
      </c>
      <c r="Q36" s="19" t="inlineStr">
        <is>
          <t>Financial Screening</t>
        </is>
      </c>
      <c r="R36" s="19" t="n">
        <v>46064</v>
      </c>
      <c r="S36" s="19" t="inlineStr">
        <is>
          <t>Zameer-ul-Hassan</t>
        </is>
      </c>
      <c r="T36" s="19" t="n">
        <v>46085</v>
      </c>
      <c r="U36" s="19" t="inlineStr">
        <is>
          <t>(Blank)</t>
        </is>
      </c>
      <c r="V36" s="19" t="inlineStr">
        <is>
          <t>FS Staff Unavailability</t>
        </is>
      </c>
      <c r="W36" s="19" t="inlineStr">
        <is>
          <t>Moderate</t>
        </is>
      </c>
      <c r="X36" s="19" t="inlineStr">
        <is>
          <t>Yes</t>
        </is>
      </c>
      <c r="Y36" s="19" t="inlineStr">
        <is>
          <t>Staff Unavailability at FS Counter - Patients waiting at FS counter since 3 hours but unable to get response.</t>
        </is>
      </c>
      <c r="Z36" s="19" t="inlineStr">
        <is>
          <t>The staff left workstation without adequately handing over her duties as she was feeling unwell. The other staff was absent due to family emergency and informed the AM late.</t>
        </is>
      </c>
      <c r="AA36" s="19" t="inlineStr">
        <is>
          <t>Both the staff have received cautions for their lack of responsibility. A staff was organized within 3 hours however this patient had left. He was accommodated the next day.</t>
        </is>
      </c>
      <c r="AB36" s="19" t="n"/>
      <c r="AC36" s="19" t="inlineStr">
        <is>
          <t>Y</t>
        </is>
      </c>
      <c r="AD36" s="19" t="n">
        <v>1</v>
      </c>
    </row>
    <row r="37">
      <c r="A37" s="19" t="n">
        <v>36</v>
      </c>
      <c r="B37" s="19" t="n">
        <v>2026</v>
      </c>
      <c r="C37" s="19" t="inlineStr">
        <is>
          <t>February</t>
        </is>
      </c>
      <c r="D37" s="19" t="n">
        <v>46063</v>
      </c>
      <c r="E37" s="19" t="inlineStr">
        <is>
          <t>C-004-10-02-2026</t>
        </is>
      </c>
      <c r="F37" s="19" t="n">
        <v>46077</v>
      </c>
      <c r="G37" s="19" t="n"/>
      <c r="H37" s="19" t="n"/>
      <c r="I37" s="19" t="n"/>
      <c r="J37" s="19" t="n"/>
      <c r="K37" s="19" t="n"/>
      <c r="L37" s="19" t="n">
        <v>46063</v>
      </c>
      <c r="M37" s="19" t="n">
        <v>46063</v>
      </c>
      <c r="N37" s="19" t="inlineStr">
        <is>
          <t>10-Feb-26 12 PM</t>
        </is>
      </c>
      <c r="O37" s="19" t="inlineStr">
        <is>
          <t>10-Feb-26</t>
        </is>
      </c>
      <c r="P37" s="19" t="inlineStr">
        <is>
          <t>12 PM</t>
        </is>
      </c>
      <c r="Q37" s="19" t="inlineStr">
        <is>
          <t>Financial Screening</t>
        </is>
      </c>
      <c r="R37" s="19" t="n">
        <v>46064</v>
      </c>
      <c r="S37" s="19" t="inlineStr">
        <is>
          <t>Zameer-ul-Hassan</t>
        </is>
      </c>
      <c r="T37" s="19" t="n">
        <v>46085</v>
      </c>
      <c r="U37" s="19" t="inlineStr">
        <is>
          <t>(Blank)</t>
        </is>
      </c>
      <c r="V37" s="19" t="inlineStr">
        <is>
          <t>FS Staff Unavailability</t>
        </is>
      </c>
      <c r="W37" s="19" t="inlineStr">
        <is>
          <t>Moderate</t>
        </is>
      </c>
      <c r="X37" s="19" t="inlineStr">
        <is>
          <t>Yes</t>
        </is>
      </c>
      <c r="Y37" s="19" t="inlineStr">
        <is>
          <t>Staff Unavailability at FS Counter - Patients waiting at FS counter since 3 hours but unable to get response.</t>
        </is>
      </c>
      <c r="Z37" s="19" t="inlineStr">
        <is>
          <t>The staff left workstation without adequately handing over her duties as she was feeling unwell. The other staff was absent due to family emergency and informed the AM late.</t>
        </is>
      </c>
      <c r="AA37" s="19" t="inlineStr">
        <is>
          <t>Both the staff have received cautions for their lack of responsibility. A staff was organized within 3 hours and the concerned patient admission was proceeded the same day.</t>
        </is>
      </c>
      <c r="AB37" s="19" t="n"/>
      <c r="AC37" s="19" t="inlineStr">
        <is>
          <t>Y</t>
        </is>
      </c>
      <c r="AD37" s="19" t="n">
        <v>1</v>
      </c>
    </row>
    <row r="38">
      <c r="A38" s="19" t="n">
        <v>37</v>
      </c>
      <c r="B38" s="19" t="n">
        <v>2026</v>
      </c>
      <c r="C38" s="19" t="inlineStr">
        <is>
          <t>February</t>
        </is>
      </c>
      <c r="D38" s="19" t="n">
        <v>46063</v>
      </c>
      <c r="E38" s="19" t="inlineStr">
        <is>
          <t>C-005-10-02-2026</t>
        </is>
      </c>
      <c r="F38" s="19" t="n">
        <v>46077</v>
      </c>
      <c r="G38" s="19" t="n"/>
      <c r="H38" s="19" t="n"/>
      <c r="I38" s="19" t="n"/>
      <c r="J38" s="19" t="n"/>
      <c r="K38" s="19" t="n"/>
      <c r="L38" s="19" t="n">
        <v>46063</v>
      </c>
      <c r="M38" s="19" t="n">
        <v>46063</v>
      </c>
      <c r="N38" s="19" t="inlineStr">
        <is>
          <t>10-Feb-26 12 PM</t>
        </is>
      </c>
      <c r="O38" s="19" t="inlineStr">
        <is>
          <t>10-Feb-26</t>
        </is>
      </c>
      <c r="P38" s="19" t="inlineStr">
        <is>
          <t>12 PM</t>
        </is>
      </c>
      <c r="Q38" s="19" t="inlineStr">
        <is>
          <t>Financial Screening</t>
        </is>
      </c>
      <c r="R38" s="19" t="n">
        <v>46064</v>
      </c>
      <c r="S38" s="19" t="inlineStr">
        <is>
          <t>Zameer-ul-Hassan</t>
        </is>
      </c>
      <c r="T38" s="19" t="n">
        <v>46085</v>
      </c>
      <c r="U38" s="19" t="inlineStr">
        <is>
          <t>(Blank)</t>
        </is>
      </c>
      <c r="V38" s="19" t="inlineStr">
        <is>
          <t>FS Staff Unavailability</t>
        </is>
      </c>
      <c r="W38" s="19" t="inlineStr">
        <is>
          <t>Moderate</t>
        </is>
      </c>
      <c r="X38" s="19" t="inlineStr">
        <is>
          <t>No</t>
        </is>
      </c>
      <c r="Y38" s="19" t="inlineStr">
        <is>
          <t>Staff Unavailable at FS Counter whole day - Patient arrived for laboratory tests for first post-transplant follow up but no one from FS is available in emergency to update the discount. Patient is unable to sit.</t>
        </is>
      </c>
      <c r="Z38" s="19" t="inlineStr">
        <is>
          <t>No Gaps identified as the patient did not experience any delay due FS staff non availability. As the Tranplant was carried out through CM funds , the required intimation email regarding the use of these funds was received on 9th feb.</t>
        </is>
      </c>
      <c r="AA38" s="19" t="inlineStr">
        <is>
          <t>Not Required</t>
        </is>
      </c>
      <c r="AB38" s="19" t="n"/>
      <c r="AC38" s="19" t="inlineStr">
        <is>
          <t>Y</t>
        </is>
      </c>
      <c r="AD38" s="19" t="n">
        <v>1</v>
      </c>
    </row>
    <row r="39">
      <c r="A39" s="19" t="n">
        <v>38</v>
      </c>
      <c r="B39" s="19" t="n">
        <v>2026</v>
      </c>
      <c r="C39" s="19" t="inlineStr">
        <is>
          <t>February</t>
        </is>
      </c>
      <c r="D39" s="19" t="n">
        <v>46063</v>
      </c>
      <c r="E39" s="19" t="inlineStr">
        <is>
          <t>C-006-10-02-2026</t>
        </is>
      </c>
      <c r="F39" s="19" t="n">
        <v>46077</v>
      </c>
      <c r="G39" s="19" t="n"/>
      <c r="H39" s="19" t="n"/>
      <c r="I39" s="19" t="n"/>
      <c r="J39" s="19" t="n"/>
      <c r="K39" s="19" t="n"/>
      <c r="L39" s="19" t="n">
        <v>46063</v>
      </c>
      <c r="M39" s="19" t="n">
        <v>46063</v>
      </c>
      <c r="N39" s="19" t="inlineStr">
        <is>
          <t>10-Feb-26 12 PM</t>
        </is>
      </c>
      <c r="O39" s="19" t="inlineStr">
        <is>
          <t>10-Feb-26</t>
        </is>
      </c>
      <c r="P39" s="19" t="inlineStr">
        <is>
          <t>12 PM</t>
        </is>
      </c>
      <c r="Q39" s="19" t="inlineStr">
        <is>
          <t>Financial Screening</t>
        </is>
      </c>
      <c r="R39" s="19" t="n">
        <v>46064</v>
      </c>
      <c r="S39" s="19" t="inlineStr">
        <is>
          <t>Zameer-ul-Hassan</t>
        </is>
      </c>
      <c r="T39" s="19" t="n">
        <v>46085</v>
      </c>
      <c r="U39" s="19" t="inlineStr">
        <is>
          <t>(Blank)</t>
        </is>
      </c>
      <c r="V39" s="19" t="inlineStr">
        <is>
          <t>FS Staff Unavailability</t>
        </is>
      </c>
      <c r="W39" s="19" t="inlineStr">
        <is>
          <t>Moderate</t>
        </is>
      </c>
      <c r="X39" s="19" t="inlineStr">
        <is>
          <t>Yes</t>
        </is>
      </c>
      <c r="Y39" s="19" t="inlineStr">
        <is>
          <t>A kidney transplant patient, whose both legs are fractured who came from Sialkot was waiting at FS counter since 3 PM and no staff from FS arrived till 6 pm.</t>
        </is>
      </c>
      <c r="Z39" s="19" t="inlineStr">
        <is>
          <t>The staff left workstation without adequately handing over her duties as she was feeling unwell. The other staff was absent due to family emergency and informed the AM late.</t>
        </is>
      </c>
      <c r="AA39" s="19" t="inlineStr">
        <is>
          <t>Both the staff have received cautions for their lack of responsibility. A staff was organized within 3 hours and the concerned patient's statys was updated the same day at 6:29 pm.</t>
        </is>
      </c>
      <c r="AB39" s="19" t="n"/>
      <c r="AC39" s="19" t="inlineStr">
        <is>
          <t>Y</t>
        </is>
      </c>
      <c r="AD39" s="19" t="n">
        <v>1</v>
      </c>
    </row>
    <row r="40">
      <c r="A40" s="19" t="n">
        <v>39</v>
      </c>
      <c r="B40" s="19" t="n">
        <v>2026</v>
      </c>
      <c r="C40" s="19" t="inlineStr">
        <is>
          <t>February</t>
        </is>
      </c>
      <c r="D40" s="19" t="n">
        <v>46065</v>
      </c>
      <c r="E40" s="19" t="inlineStr">
        <is>
          <t>C-001-12-02-2026</t>
        </is>
      </c>
      <c r="F40" s="19" t="n">
        <v>46069</v>
      </c>
      <c r="G40" s="19" t="n"/>
      <c r="H40" s="19" t="n"/>
      <c r="I40" s="19" t="n"/>
      <c r="J40" s="19" t="n"/>
      <c r="K40" s="19" t="n"/>
      <c r="L40" s="19" t="n">
        <v>46065</v>
      </c>
      <c r="M40" s="19" t="n">
        <v>46065</v>
      </c>
      <c r="N40" s="19" t="inlineStr">
        <is>
          <t>16-Feb-26 4 pm</t>
        </is>
      </c>
      <c r="O40" s="19" t="inlineStr">
        <is>
          <t>16-Feb-26</t>
        </is>
      </c>
      <c r="P40" s="19" t="inlineStr">
        <is>
          <t>4 pm</t>
        </is>
      </c>
      <c r="Q40" s="19" t="inlineStr">
        <is>
          <t>Radiology/IR</t>
        </is>
      </c>
      <c r="R40" s="19" t="n">
        <v>46069</v>
      </c>
      <c r="S40" s="19" t="inlineStr">
        <is>
          <t>Abdul Qudoos</t>
        </is>
      </c>
      <c r="T40" s="19" t="n"/>
      <c r="U40" s="19" t="inlineStr">
        <is>
          <t>(Blank)</t>
        </is>
      </c>
      <c r="V40" s="19" t="inlineStr">
        <is>
          <t>Post-Procedure Complication</t>
        </is>
      </c>
      <c r="W40" s="19" t="inlineStr">
        <is>
          <t>Moderate</t>
        </is>
      </c>
      <c r="X40" s="19" t="inlineStr">
        <is>
          <t>No</t>
        </is>
      </c>
      <c r="Y40" s="19" t="inlineStr">
        <is>
          <t>It is respectfully stated that I underwent Varicocele Embolization at PKLI on 20 January 2026, performed in IR department Before the procedure, my ultrasound showed varicocele with pain and scrotal swelling. Unfortunately, even after the procedure, I am still experiencing persistent pain and swelling in the scrotum, especially while standing and walking. Yesterday, I got another ultrasound done, and the report still shows varicocele with similar findings as before the procedure. There has been no significant improvement in my condition so far. I have been trying to contact PKLI through the official phone numbers for guidance and follow-up, but unfortunately, my calls are not being attended. Due to my serious discomfort and ongoing symptoms, I am very worried about my health. I had availed only a 20% discount at the time of procedure, and my family is already under financial pressure. We are not in a position to afford repeated expensive treatments. Therefore, I humbly request the hospital administration to kindly guide me regarding: Whether my treatment has been successful or not. What further steps can be taken to complete or correct my treatment. Whether the hospital can provide necessary follow-up.</t>
        </is>
      </c>
      <c r="Z40" s="19" t="inlineStr">
        <is>
          <t>Patient has willingly taken his complaint back.</t>
        </is>
      </c>
      <c r="AA40" s="19" t="n"/>
      <c r="AB40" s="19" t="n"/>
      <c r="AC40" s="19" t="n"/>
      <c r="AD40" s="19" t="n">
        <v>1</v>
      </c>
    </row>
    <row r="41">
      <c r="A41" s="19" t="n">
        <v>40</v>
      </c>
      <c r="B41" s="19" t="n">
        <v>2026</v>
      </c>
      <c r="C41" s="19" t="inlineStr">
        <is>
          <t>February</t>
        </is>
      </c>
      <c r="D41" s="19" t="n">
        <v>46065</v>
      </c>
      <c r="E41" s="19" t="inlineStr">
        <is>
          <t>C-002-12-02-2026</t>
        </is>
      </c>
      <c r="F41" s="19" t="n">
        <v>46069</v>
      </c>
      <c r="G41" s="19" t="n"/>
      <c r="H41" s="19" t="n"/>
      <c r="I41" s="19" t="n"/>
      <c r="J41" s="19" t="n"/>
      <c r="K41" s="19" t="n"/>
      <c r="L41" s="19" t="n">
        <v>46065</v>
      </c>
      <c r="M41" s="19" t="n">
        <v>46065</v>
      </c>
      <c r="N41" s="19" t="inlineStr">
        <is>
          <t>16-Feb-26 4 pm</t>
        </is>
      </c>
      <c r="O41" s="19" t="inlineStr">
        <is>
          <t>16-Feb-26</t>
        </is>
      </c>
      <c r="P41" s="19" t="inlineStr">
        <is>
          <t>4 pm</t>
        </is>
      </c>
      <c r="Q41" s="19" t="inlineStr">
        <is>
          <t>Laboratory</t>
        </is>
      </c>
      <c r="R41" s="19" t="n">
        <v>46069</v>
      </c>
      <c r="S41" s="19" t="inlineStr">
        <is>
          <t>Ms. Tayyaba</t>
        </is>
      </c>
      <c r="T41" s="19" t="n">
        <v>46079</v>
      </c>
      <c r="U41" s="19" t="inlineStr">
        <is>
          <t>(Blank)</t>
        </is>
      </c>
      <c r="V41" s="19" t="inlineStr">
        <is>
          <t>Lab Report Delay</t>
        </is>
      </c>
      <c r="W41" s="19" t="inlineStr">
        <is>
          <t>Major</t>
        </is>
      </c>
      <c r="X41" s="19" t="inlineStr">
        <is>
          <t>Yes</t>
        </is>
      </c>
      <c r="Y41" s="19" t="inlineStr">
        <is>
          <t>Firdous Batool is a potential liver donor. Her Beta Hcg and TSH was entered in system on 14-01-2026 and reported on 03-02-2026 after reminder in lab. Kindly make sure timely reporting of labs to avoid any hinderance in liver transplant work up.</t>
        </is>
      </c>
      <c r="Z41" s="19" t="inlineStr">
        <is>
          <t>1. Single sample received against 2 different dated requests/ entry in SIsoft. Sample was run manually and reported via Sample ID, so Sisoft reflects single day's test against that sample ID. So only one tests were performed and reported. 2. Staff overlooking, as staff did not performed tests according to the sample receiving sheet and at the time of result entry he entered sample ID instead of MR number.</t>
        </is>
      </c>
      <c r="AA41" s="19" t="inlineStr">
        <is>
          <t>1-Phlebotomy staff to collect two separate samples if sisoft has two separate entries. 2-Document staff error and conduct counselling.</t>
        </is>
      </c>
      <c r="AB41" s="19" t="n"/>
      <c r="AC41" s="19" t="n"/>
      <c r="AD41" s="19" t="n">
        <v>1</v>
      </c>
    </row>
    <row r="42">
      <c r="A42" s="19" t="n">
        <v>41</v>
      </c>
      <c r="B42" s="19" t="n">
        <v>2026</v>
      </c>
      <c r="C42" s="19" t="inlineStr">
        <is>
          <t>February</t>
        </is>
      </c>
      <c r="D42" s="19" t="n">
        <v>46065</v>
      </c>
      <c r="E42" s="19" t="inlineStr">
        <is>
          <t>C-003-12-02-2026</t>
        </is>
      </c>
      <c r="F42" s="19" t="n">
        <v>46069</v>
      </c>
      <c r="G42" s="19" t="n"/>
      <c r="H42" s="19" t="n"/>
      <c r="I42" s="19" t="n"/>
      <c r="J42" s="19" t="n"/>
      <c r="K42" s="19" t="n"/>
      <c r="L42" s="19" t="n">
        <v>46065</v>
      </c>
      <c r="M42" s="19" t="n">
        <v>46065</v>
      </c>
      <c r="N42" s="19" t="inlineStr">
        <is>
          <t>16-Feb-26 4 pm</t>
        </is>
      </c>
      <c r="O42" s="19" t="inlineStr">
        <is>
          <t>16-Feb-26</t>
        </is>
      </c>
      <c r="P42" s="19" t="inlineStr">
        <is>
          <t>4 pm</t>
        </is>
      </c>
      <c r="Q42" s="19" t="inlineStr">
        <is>
          <t>Nursing</t>
        </is>
      </c>
      <c r="R42" s="19" t="n">
        <v>46069</v>
      </c>
      <c r="S42" s="19" t="inlineStr">
        <is>
          <t>Ms. Tahira</t>
        </is>
      </c>
      <c r="T42" s="19" t="n"/>
      <c r="U42" s="19" t="inlineStr">
        <is>
          <t>(Blank)</t>
        </is>
      </c>
      <c r="V42" s="19" t="inlineStr">
        <is>
          <t>Dialysis Negligence</t>
        </is>
      </c>
      <c r="W42" s="19" t="inlineStr">
        <is>
          <t>Serious</t>
        </is>
      </c>
      <c r="X42" s="19" t="inlineStr">
        <is>
          <t>Yes</t>
        </is>
      </c>
      <c r="Y42" s="19" t="inlineStr">
        <is>
          <t>So, the patient was feeling well throughout the dialysis, but when it was the time to discharge the dialyzer, the staff did some negligence and didn’t close a pipe to her catheter due to which some blood lost, and she became unconscious and couldn’t recover. Moreover, that staff person was shouting as well on every other patient.</t>
        </is>
      </c>
      <c r="Z42" s="19" t="n"/>
      <c r="AA42" s="19" t="n"/>
      <c r="AB42" s="19" t="n"/>
      <c r="AC42" s="19" t="n"/>
      <c r="AD42" s="19" t="n">
        <v>1</v>
      </c>
    </row>
    <row r="43">
      <c r="A43" s="19" t="n">
        <v>42</v>
      </c>
      <c r="B43" s="19" t="n">
        <v>2026</v>
      </c>
      <c r="C43" s="19" t="inlineStr">
        <is>
          <t>February</t>
        </is>
      </c>
      <c r="D43" s="19" t="n">
        <v>46071</v>
      </c>
      <c r="E43" s="19" t="inlineStr">
        <is>
          <t>C-001-18-02-2026</t>
        </is>
      </c>
      <c r="F43" s="19" t="n">
        <v>46073</v>
      </c>
      <c r="G43" s="19" t="n"/>
      <c r="H43" s="19" t="n"/>
      <c r="I43" s="19" t="n"/>
      <c r="J43" s="19" t="n"/>
      <c r="K43" s="19" t="n"/>
      <c r="L43" s="19" t="n"/>
      <c r="M43" s="19" t="n">
        <v>46071</v>
      </c>
      <c r="N43" s="19" t="inlineStr">
        <is>
          <t>23-Feb-26 4 PM</t>
        </is>
      </c>
      <c r="O43" s="19" t="inlineStr">
        <is>
          <t>23-Feb-26</t>
        </is>
      </c>
      <c r="P43" s="19" t="inlineStr">
        <is>
          <t>4 PM</t>
        </is>
      </c>
      <c r="Q43" s="19" t="inlineStr">
        <is>
          <t>Gastro Nephro</t>
        </is>
      </c>
      <c r="R43" s="19" t="n">
        <v>46072</v>
      </c>
      <c r="S43" s="19" t="inlineStr">
        <is>
          <t>Mr. Noor Dr. Huma</t>
        </is>
      </c>
      <c r="T43" s="19" t="inlineStr">
        <is>
          <t>02-Mar-26 20-Feb-26</t>
        </is>
      </c>
      <c r="U43" s="19" t="inlineStr">
        <is>
          <t>(Blank)</t>
        </is>
      </c>
      <c r="V43" s="19" t="inlineStr">
        <is>
          <t>Follow-up Care Delay</t>
        </is>
      </c>
      <c r="W43" s="19" t="inlineStr">
        <is>
          <t>Moderate</t>
        </is>
      </c>
      <c r="X43" s="19" t="inlineStr">
        <is>
          <t>Yes</t>
        </is>
      </c>
      <c r="Y43" s="19" t="inlineStr">
        <is>
          <t>Dear Sir/Madam, I am a patient under Dr. Osama and had my checkup on 30th January. During the consultation, I was advised to undergo blood tests and a scan. It has now been 15 days, and despite visiting multiple times to consult regarding my reports, I have received no proper response. There seems to be no facilitation for patients in this regard. I am from Hyderabad, and it is very difficult for me to travel frequently just to check whether my reports are ready. There has been no telephonic coordination, and I am still unaware of my test results. Secondly, Dr. Hashaam also advised me to undergo a scan. However, his team repeatedly asks me to visit in person, yet I have not been able to properly consult with him. We are even being asked to renew our voucher simply to check the reports. This has caused significant inconvenience. As a patient of Pakistan Kidney and Liver Institute, I expected better coordination and patient support. Unfortunately, I have found no convenience in the process. I kindly request you to look into this matter urgently and facilitate access to my reports without further delay. Your prompt support would be greatly appreciated. Thanking you in anticipation.</t>
        </is>
      </c>
      <c r="Z43" s="19" t="inlineStr">
        <is>
          <t>Gastro: There was delay in post-investigation follow up beyond the usual time frame due to consultant's clinical commitments and institutional academic activities, resulting in patient inconvenience. Nephrology:No gap identified as patient presented with more than 15 days old nephrology voucher and as per policy they needed to generate a new nephrlogy voucher to get their reports checked.</t>
        </is>
      </c>
      <c r="AA43" s="19" t="inlineStr">
        <is>
          <t>Gastro: The patient was contacted, apologized to and subsequently reviewed on 18th February by Dr.Osama Nephrology: A follow-up appointment with Dr. Husham was arranged with facilitation for consultation without additional voucher charges.</t>
        </is>
      </c>
      <c r="AB43" s="19" t="n"/>
      <c r="AC43" s="19" t="inlineStr">
        <is>
          <t>Y</t>
        </is>
      </c>
      <c r="AD43" s="19" t="n">
        <v>1</v>
      </c>
    </row>
    <row r="44">
      <c r="A44" s="19" t="n">
        <v>43</v>
      </c>
      <c r="B44" s="19" t="n">
        <v>2026</v>
      </c>
      <c r="C44" s="19" t="inlineStr">
        <is>
          <t>February</t>
        </is>
      </c>
      <c r="D44" s="19" t="n">
        <v>46071</v>
      </c>
      <c r="E44" s="19" t="inlineStr">
        <is>
          <t>C-002-18-02-2026</t>
        </is>
      </c>
      <c r="F44" s="19" t="n">
        <v>46071</v>
      </c>
      <c r="G44" s="19" t="n"/>
      <c r="H44" s="19" t="n"/>
      <c r="I44" s="19" t="n"/>
      <c r="J44" s="19" t="n"/>
      <c r="K44" s="19" t="n"/>
      <c r="L44" s="19" t="n">
        <v>46071</v>
      </c>
      <c r="M44" s="19" t="n">
        <v>46071</v>
      </c>
      <c r="N44" s="19" t="inlineStr">
        <is>
          <t>23-Feb-26 4 PM</t>
        </is>
      </c>
      <c r="O44" s="19" t="inlineStr">
        <is>
          <t>23-Feb-26</t>
        </is>
      </c>
      <c r="P44" s="19" t="inlineStr">
        <is>
          <t>4 PM</t>
        </is>
      </c>
      <c r="Q44" s="19" t="inlineStr">
        <is>
          <t>Gastro OPD</t>
        </is>
      </c>
      <c r="R44" s="19" t="n">
        <v>46072</v>
      </c>
      <c r="S44" s="19" t="inlineStr">
        <is>
          <t>Mr. Noor Mr. Umair</t>
        </is>
      </c>
      <c r="T44" s="19" t="inlineStr">
        <is>
          <t>25-Feb-26 2-Mar-26</t>
        </is>
      </c>
      <c r="U44" s="19" t="inlineStr">
        <is>
          <t>(Blank)</t>
        </is>
      </c>
      <c r="V44" s="19" t="inlineStr">
        <is>
          <t>OPD Consultation Delay</t>
        </is>
      </c>
      <c r="W44" s="19" t="inlineStr">
        <is>
          <t>Moderate</t>
        </is>
      </c>
      <c r="X44" s="19" t="inlineStr">
        <is>
          <t>Yes</t>
        </is>
      </c>
      <c r="Y44" s="19" t="inlineStr">
        <is>
          <t>The continuous delay in checking my patient at your esteemed institute. For the past month, we have been visiting the OPD regularly, but unfortunately, the staff has repeatedly asked us to “wait” without providing proper examination, clear guidance, or a confirmed appointment. Despite multiple visits and requests, my patient has not been properly checked by the concerned doctor. This prolonged delay is causing serious distress and concern regarding the patient’s health condition. We visited hospital on 16th Feb as per our follow up date and came to know that our Dr. Bilal Shaukat is not available. Further given us next appointment of 14th May 2026, which is very far and patient health is already not good. Please guide and provide proper and timely treatment.</t>
        </is>
      </c>
      <c r="Z44" s="19" t="n"/>
      <c r="AA44" s="19" t="n"/>
      <c r="AB44" s="19" t="n"/>
      <c r="AC44" s="19" t="n"/>
      <c r="AD44" s="19" t="n">
        <v>1</v>
      </c>
    </row>
    <row r="45">
      <c r="A45" s="19" t="n">
        <v>44</v>
      </c>
      <c r="B45" s="19" t="n">
        <v>2026</v>
      </c>
      <c r="C45" s="19" t="inlineStr">
        <is>
          <t>February</t>
        </is>
      </c>
      <c r="D45" s="19" t="n">
        <v>46077</v>
      </c>
      <c r="E45" s="19" t="inlineStr">
        <is>
          <t>C-001-24-02-2026</t>
        </is>
      </c>
      <c r="F45" s="19" t="n">
        <v>46077</v>
      </c>
      <c r="G45" s="19" t="n"/>
      <c r="H45" s="19" t="n"/>
      <c r="I45" s="19" t="n"/>
      <c r="J45" s="19" t="n"/>
      <c r="K45" s="19" t="n"/>
      <c r="L45" s="19" t="n">
        <v>46077</v>
      </c>
      <c r="M45" s="19" t="n">
        <v>46077</v>
      </c>
      <c r="N45" s="19" t="inlineStr">
        <is>
          <t>27-Feb-26 12 pm</t>
        </is>
      </c>
      <c r="O45" s="19" t="inlineStr">
        <is>
          <t>27-Feb-26</t>
        </is>
      </c>
      <c r="P45" s="19" t="inlineStr">
        <is>
          <t>12 pm</t>
        </is>
      </c>
      <c r="Q45" s="19" t="inlineStr">
        <is>
          <t>OPD</t>
        </is>
      </c>
      <c r="R45" s="19" t="n">
        <v>46077</v>
      </c>
      <c r="S45" s="19" t="inlineStr">
        <is>
          <t>Mr. Kashif</t>
        </is>
      </c>
      <c r="T45" s="19" t="n">
        <v>46085</v>
      </c>
      <c r="U45" s="19" t="inlineStr">
        <is>
          <t>(Blank)</t>
        </is>
      </c>
      <c r="V45" s="19" t="inlineStr">
        <is>
          <t>Token Mismanagement</t>
        </is>
      </c>
      <c r="W45" s="19" t="inlineStr">
        <is>
          <t>Minor</t>
        </is>
      </c>
      <c r="X45" s="19" t="inlineStr">
        <is>
          <t>Yes</t>
        </is>
      </c>
      <c r="Y45" s="19" t="inlineStr">
        <is>
          <t>موضوع: ناقص انتظام اور غیر ذمہ دارانہ رویّے کے خلاف شکایت محترم جناب، PKLI آج میں آیا/آئی اور مجھے باقاعدہ ٹوکن جاری کیا گیا۔ بعد ازاں ریسپشن پر موجود عملے نے مجھے بتایا کہ آج مریضوں کی تعداد مکمل ہو چکی ہے اور اب میرا نمبر کل آئے گا۔ میرا سوال یہ ہے کہ اگر آج کی حد مکمل ہو چکی تھی تو مجھے ٹوکن کیوں جاری کیا گیا؟ اس عمل کی وجہ سے میرا قیمتی وقت ضائع ہوا ذہنی دباؤ اور پریشانی کا سامنا کرنا پڑا سفر اور دیگر اخراجات برداشت کرنے پڑے۔ یہ واضح طور پر انتظامی کوتاہی ہے۔ مریض پہلے ہی تکلیف اور بیماری کی حالت میں ہوتا ہے، ایسے میں اس طرح کی غیر منظم پالیسی ناقابلِ قبول ہے۔ لہٰذا گزارش ہے کہ اس معاملے کی فوری انکوائری کی جائے۔ متعلقہ عملے کے خلاف مناسب کارروائی کی جائے۔ آئندہ مریضوں کو اس قسم کی صورتحال سے بچانے کے لیے واضح نظام بنایا جائے ۔مجھے اس شکایت پر باقاعدہ تحریری جواب فراہم کیا جائے۔</t>
        </is>
      </c>
      <c r="Z45" s="19" t="inlineStr">
        <is>
          <t>Patient was issued a token despite heavy backlog, without clear assurance of same day consultation.</t>
        </is>
      </c>
      <c r="AA45" s="19" t="inlineStr">
        <is>
          <t>The patient was accomodated the same day. Token issuance is been capped as per short working hours.</t>
        </is>
      </c>
      <c r="AB45" s="19" t="n"/>
      <c r="AC45" s="19" t="inlineStr">
        <is>
          <t>Y</t>
        </is>
      </c>
      <c r="AD45" s="19" t="n">
        <v>1</v>
      </c>
    </row>
    <row r="46">
      <c r="A46" s="19" t="n">
        <v>45</v>
      </c>
      <c r="B46" s="19" t="n">
        <v>2026</v>
      </c>
      <c r="C46" s="19" t="inlineStr">
        <is>
          <t>February</t>
        </is>
      </c>
      <c r="D46" s="19" t="n">
        <v>46077</v>
      </c>
      <c r="E46" s="19" t="inlineStr">
        <is>
          <t>C-002-24-02-2026</t>
        </is>
      </c>
      <c r="F46" s="19" t="n">
        <v>46077</v>
      </c>
      <c r="G46" s="19" t="n"/>
      <c r="H46" s="19" t="n"/>
      <c r="I46" s="19" t="n"/>
      <c r="J46" s="19" t="n"/>
      <c r="K46" s="19" t="n"/>
      <c r="L46" s="19" t="n">
        <v>46077</v>
      </c>
      <c r="M46" s="19" t="n">
        <v>46077</v>
      </c>
      <c r="N46" s="19" t="inlineStr">
        <is>
          <t>27-Feb-26 12 pm</t>
        </is>
      </c>
      <c r="O46" s="19" t="inlineStr">
        <is>
          <t>27-Feb-26</t>
        </is>
      </c>
      <c r="P46" s="19" t="inlineStr">
        <is>
          <t>12 pm</t>
        </is>
      </c>
      <c r="Q46" s="19" t="inlineStr">
        <is>
          <t>Medical Records Dialysis OPD</t>
        </is>
      </c>
      <c r="R46" s="19" t="inlineStr">
        <is>
          <t>24-Feb-26 04-Mar-25 04-Mar-25</t>
        </is>
      </c>
      <c r="S46" s="19" t="inlineStr">
        <is>
          <t>Mr. Azhar Astina Umair</t>
        </is>
      </c>
      <c r="T46" s="19" t="inlineStr">
        <is>
          <t>02-Mar-2026</t>
        </is>
      </c>
      <c r="U46" s="19" t="inlineStr">
        <is>
          <t>(Blank)</t>
        </is>
      </c>
      <c r="V46" s="19" t="inlineStr">
        <is>
          <t>Missing Medical File</t>
        </is>
      </c>
      <c r="W46" s="19" t="inlineStr">
        <is>
          <t>Major</t>
        </is>
      </c>
      <c r="X46" s="19" t="inlineStr">
        <is>
          <t>Yes</t>
        </is>
      </c>
      <c r="Y46" s="19" t="inlineStr">
        <is>
          <t>Patient dialysis file has been missing for 2 weeks now.</t>
        </is>
      </c>
      <c r="Z46" s="19" t="n"/>
      <c r="AA46" s="19" t="n"/>
      <c r="AB46" s="19" t="n"/>
      <c r="AC46" s="19" t="n"/>
      <c r="AD46" s="19" t="n">
        <v>1</v>
      </c>
    </row>
    <row r="47">
      <c r="A47" s="19" t="n">
        <v>46</v>
      </c>
      <c r="B47" s="19" t="n">
        <v>2026</v>
      </c>
      <c r="C47" s="19" t="inlineStr">
        <is>
          <t>February</t>
        </is>
      </c>
      <c r="D47" s="19" t="n">
        <v>46079</v>
      </c>
      <c r="E47" s="19" t="inlineStr">
        <is>
          <t>C001-26-02-2026</t>
        </is>
      </c>
      <c r="F47" s="19" t="n">
        <v>46083</v>
      </c>
      <c r="G47" s="19" t="n"/>
      <c r="H47" s="19" t="n"/>
      <c r="I47" s="19" t="n"/>
      <c r="J47" s="19" t="n"/>
      <c r="K47" s="19" t="n"/>
      <c r="L47" s="19" t="n">
        <v>46079</v>
      </c>
      <c r="M47" s="19" t="n">
        <v>46079</v>
      </c>
      <c r="N47" s="19" t="inlineStr">
        <is>
          <t>5-March-26 2 PM</t>
        </is>
      </c>
      <c r="O47" s="19" t="inlineStr">
        <is>
          <t>5-March-26</t>
        </is>
      </c>
      <c r="P47" s="19" t="inlineStr">
        <is>
          <t>2 PM</t>
        </is>
      </c>
      <c r="Q47" s="19" t="inlineStr">
        <is>
          <t>LTX Radiology Billing</t>
        </is>
      </c>
      <c r="R47" s="19" t="inlineStr">
        <is>
          <t>27-Feb-26 27-Feb-26 27-Feb-26</t>
        </is>
      </c>
      <c r="S47" s="19" t="inlineStr">
        <is>
          <t>Mr. Zaheen Mr. Qudoos Mr. Naveed</t>
        </is>
      </c>
      <c r="T47" s="19" t="n">
        <v>46139</v>
      </c>
      <c r="U47" s="19" t="inlineStr">
        <is>
          <t>Medical Directorate</t>
        </is>
      </c>
      <c r="V47" s="19" t="inlineStr">
        <is>
          <t>Billing Irregularity</t>
        </is>
      </c>
      <c r="W47" s="19" t="inlineStr">
        <is>
          <t>Moderate</t>
        </is>
      </c>
      <c r="X47" s="19" t="inlineStr">
        <is>
          <t>Yes</t>
        </is>
      </c>
      <c r="Y47" s="19" t="inlineStr">
        <is>
          <t>The patient reported billing confusion, paperwork errors, delays between departments, and alleged irregularities in procurement and cashier handling. He also highlighted lack of staff coordination and unprofessional behavior at counters, causing significant inconvenience to the patient and attendant.</t>
        </is>
      </c>
      <c r="Z47" s="19" t="n"/>
      <c r="AA47" s="19" t="n"/>
      <c r="AB47" s="19" t="n"/>
      <c r="AC47" s="19" t="n"/>
      <c r="AD47" s="19" t="n">
        <v>1</v>
      </c>
    </row>
    <row r="48">
      <c r="A48" s="19" t="n">
        <v>47</v>
      </c>
      <c r="B48" s="19" t="n">
        <v>2026</v>
      </c>
      <c r="C48" s="19" t="inlineStr">
        <is>
          <t>February</t>
        </is>
      </c>
      <c r="D48" s="19" t="n">
        <v>46079</v>
      </c>
      <c r="E48" s="19" t="inlineStr">
        <is>
          <t>C-002-26-02-2026</t>
        </is>
      </c>
      <c r="F48" s="19" t="inlineStr">
        <is>
          <t>To HR</t>
        </is>
      </c>
      <c r="G48" s="19" t="n"/>
      <c r="H48" s="19" t="n"/>
      <c r="I48" s="19" t="n"/>
      <c r="J48" s="19" t="n"/>
      <c r="K48" s="19" t="n"/>
      <c r="L48" s="19" t="n"/>
      <c r="M48" s="19" t="n"/>
      <c r="N48" s="19" t="n"/>
      <c r="O48" s="19" t="n"/>
      <c r="P48" s="19" t="n"/>
      <c r="Q48" s="19" t="inlineStr">
        <is>
          <t>Nursing</t>
        </is>
      </c>
      <c r="R48" s="19" t="n"/>
      <c r="S48" s="19" t="inlineStr">
        <is>
          <t>Miss Tahira</t>
        </is>
      </c>
      <c r="T48" s="19" t="n"/>
      <c r="U48" s="19" t="inlineStr">
        <is>
          <t>(Blank)</t>
        </is>
      </c>
      <c r="V48" s="19" t="inlineStr">
        <is>
          <t>Surgical Equipment Negligence</t>
        </is>
      </c>
      <c r="W48" s="19" t="inlineStr">
        <is>
          <t>Minor</t>
        </is>
      </c>
      <c r="X48" s="19" t="inlineStr">
        <is>
          <t>No</t>
        </is>
      </c>
      <c r="Y48" s="19" t="inlineStr">
        <is>
          <t>Date: 25 / 02 / 2026 Responsible Personnel. Mr. Ghulam Murtaza U.ID: 2551, Designation: OT Tech The following negligence of Mr. Ghulam Murtaza, • He used the exoscope during the procedure. The exoscope was tightened accidentally during assembling and he did not see that the exoscope was tightly closed. This caused dent to the exoscope. • Ghulam Murtaza knows about the SOPS of the exoscope and how we can use it. • When the team leader Mr Muhammad Adnan U.id 2466 asked him if he had seen it, he replied that he did not know.</t>
        </is>
      </c>
      <c r="Z48" s="19" t="n"/>
      <c r="AA48" s="19" t="n"/>
      <c r="AB48" s="19" t="n"/>
      <c r="AC48" s="19" t="n"/>
      <c r="AD48" s="19" t="n">
        <v>1</v>
      </c>
    </row>
    <row r="49">
      <c r="A49" s="19" t="n">
        <v>48</v>
      </c>
      <c r="B49" s="19" t="n">
        <v>2026</v>
      </c>
      <c r="C49" s="19" t="inlineStr">
        <is>
          <t>February</t>
        </is>
      </c>
      <c r="D49" s="19" t="n">
        <v>46080</v>
      </c>
      <c r="E49" s="19" t="inlineStr">
        <is>
          <t>C-001-27-02-2026</t>
        </is>
      </c>
      <c r="F49" s="19" t="inlineStr">
        <is>
          <t>To HR</t>
        </is>
      </c>
      <c r="G49" s="19" t="n"/>
      <c r="H49" s="19" t="n"/>
      <c r="I49" s="19" t="n"/>
      <c r="J49" s="19" t="n"/>
      <c r="K49" s="19" t="n"/>
      <c r="L49" s="19" t="n"/>
      <c r="M49" s="19" t="n"/>
      <c r="N49" s="19" t="n"/>
      <c r="O49" s="19" t="n"/>
      <c r="P49" s="19" t="n"/>
      <c r="Q49" s="19" t="inlineStr">
        <is>
          <t>Financial Screening</t>
        </is>
      </c>
      <c r="R49" s="19" t="n"/>
      <c r="S49" s="19" t="inlineStr">
        <is>
          <t>Mr. Zameer ul Hassan</t>
        </is>
      </c>
      <c r="T49" s="19" t="n"/>
      <c r="U49" s="19" t="inlineStr">
        <is>
          <t>(Blank)</t>
        </is>
      </c>
      <c r="V49" s="19" t="inlineStr">
        <is>
          <t>Staff Attitude</t>
        </is>
      </c>
      <c r="W49" s="19" t="inlineStr">
        <is>
          <t>Minor</t>
        </is>
      </c>
      <c r="X49" s="19" t="inlineStr">
        <is>
          <t>Yes</t>
        </is>
      </c>
      <c r="Y49" s="19" t="inlineStr">
        <is>
          <t>I am writing to formally bring to your attention the inappropriate and unprofessional behaviour of one of the staff members in financial screening department, Miss Saima Basharat (AM Financial screening) Yesterday, I visited Urology OPD Counter 2 to submit a document to her. During this interaction, her behaviour was discourteous and unprofessional. She raised her voice and stated that she could not accept the document at that time, instructing me to return the following day. The way this was communicated was inappropriate and upsetting, particularly as it occurred in the presence of my mother and son. I respectfully submit that such conduct does not align with the standards of professionalism and courtesy expected from hospital staff. If similar behaviour is exhibited toward patients, it may negatively impact on the hospital’s reputation and the overall patient experience. Maintaining respectful and compassionate communication is essential in a healthcare environment. I kindly request that this matter be reviewed and that appropriate steps be taken to ensure that staff members consistently uphold the standards outlined in the hospital’s code of conduct. Thank you for your attention to this matter. I look forward to your response.</t>
        </is>
      </c>
      <c r="Z49" s="19" t="n"/>
      <c r="AA49" s="19" t="n"/>
      <c r="AB49" s="19" t="n"/>
      <c r="AC49" s="19" t="n"/>
      <c r="AD49" s="19" t="n">
        <v>1</v>
      </c>
    </row>
    <row r="50">
      <c r="A50" s="19" t="n">
        <v>49</v>
      </c>
      <c r="B50" s="19" t="n">
        <v>2026</v>
      </c>
      <c r="C50" s="19" t="inlineStr">
        <is>
          <t>February</t>
        </is>
      </c>
      <c r="D50" s="19" t="n">
        <v>46080</v>
      </c>
      <c r="E50" s="19" t="inlineStr">
        <is>
          <t>C-002-27-02-2026</t>
        </is>
      </c>
      <c r="F50" s="19" t="n"/>
      <c r="G50" s="19" t="n"/>
      <c r="H50" s="19" t="n"/>
      <c r="I50" s="19" t="n"/>
      <c r="J50" s="19" t="n"/>
      <c r="K50" s="19" t="n"/>
      <c r="L50" s="19" t="n">
        <v>46080</v>
      </c>
      <c r="M50" s="19" t="n">
        <v>46080</v>
      </c>
      <c r="N50" s="19" t="inlineStr">
        <is>
          <t>5-Mar-26 12 pm</t>
        </is>
      </c>
      <c r="O50" s="19" t="inlineStr">
        <is>
          <t>5-Mar-26</t>
        </is>
      </c>
      <c r="P50" s="19" t="inlineStr">
        <is>
          <t>12 pm</t>
        </is>
      </c>
      <c r="Q50" s="19" t="inlineStr">
        <is>
          <t>Internal Medicine/ Oncology GM Operation</t>
        </is>
      </c>
      <c r="R50" s="19" t="inlineStr">
        <is>
          <t>2-Mar-26 13-Mar-26</t>
        </is>
      </c>
      <c r="S50" s="19" t="inlineStr">
        <is>
          <t>Ms. Nasira Mr. Kashif</t>
        </is>
      </c>
      <c r="T50" s="19" t="n">
        <v>46087</v>
      </c>
      <c r="U50" s="19" t="inlineStr">
        <is>
          <t>(Blank)</t>
        </is>
      </c>
      <c r="V50" s="19" t="inlineStr">
        <is>
          <t>OPD Consultation Delay</t>
        </is>
      </c>
      <c r="W50" s="19" t="inlineStr">
        <is>
          <t>Minor</t>
        </is>
      </c>
      <c r="X50" s="19" t="inlineStr">
        <is>
          <t>Yes</t>
        </is>
      </c>
      <c r="Y50" s="19" t="inlineStr">
        <is>
          <t>Patient's appointment time was 2:15pm, she reached hospital at 2 pm but going through different counters she reached OPD 4 at 2:15 pm where she kept waiting from 2:15 to 2:30 for outsite Doctor's clinic for Mr. Arslan who was in the clinic. At 2:30 pm Mr. Arslan Noor came out of th the clinic and went to ask for patient check up at 2:32 but the doctor refused by saying that her appointment time has been ended. The she visited multiple departments including admin and Quality but couldn't be facilitated.</t>
        </is>
      </c>
      <c r="Z50" s="19" t="n"/>
      <c r="AA50" s="19" t="n"/>
      <c r="AB50" s="19" t="n"/>
      <c r="AC50" s="19" t="n"/>
      <c r="AD50" s="19" t="n">
        <v>1</v>
      </c>
    </row>
    <row r="51">
      <c r="A51" s="19" t="n">
        <v>50</v>
      </c>
      <c r="B51" s="19" t="n">
        <v>2026</v>
      </c>
      <c r="C51" s="19" t="inlineStr">
        <is>
          <t>March</t>
        </is>
      </c>
      <c r="D51" s="19" t="n">
        <v>46083</v>
      </c>
      <c r="E51" s="19" t="inlineStr">
        <is>
          <t>C-001-02-03-2026</t>
        </is>
      </c>
      <c r="F51" s="19" t="n"/>
      <c r="G51" s="19" t="n"/>
      <c r="H51" s="19" t="n"/>
      <c r="I51" s="19" t="n"/>
      <c r="J51" s="19" t="n"/>
      <c r="K51" s="19" t="n"/>
      <c r="L51" s="19" t="n">
        <v>46083</v>
      </c>
      <c r="M51" s="19" t="n">
        <v>46083</v>
      </c>
      <c r="N51" s="19" t="inlineStr">
        <is>
          <t>6-Mar-26 12 PM</t>
        </is>
      </c>
      <c r="O51" s="19" t="inlineStr">
        <is>
          <t>6-Mar-26</t>
        </is>
      </c>
      <c r="P51" s="19" t="inlineStr">
        <is>
          <t>12 PM</t>
        </is>
      </c>
      <c r="Q51" s="19" t="inlineStr">
        <is>
          <t>Gastro AMU</t>
        </is>
      </c>
      <c r="R51" s="19" t="inlineStr">
        <is>
          <t>3-Mar-26 04-Mar-26</t>
        </is>
      </c>
      <c r="S51" s="19" t="inlineStr">
        <is>
          <t>Noor Dr. Sheri</t>
        </is>
      </c>
      <c r="T51" s="19" t="n">
        <v>46105</v>
      </c>
      <c r="U51" s="19" t="inlineStr">
        <is>
          <t>Medical</t>
        </is>
      </c>
      <c r="V51" s="19" t="inlineStr">
        <is>
          <t>Quality of Care</t>
        </is>
      </c>
      <c r="W51" s="19" t="inlineStr">
        <is>
          <t>Serious</t>
        </is>
      </c>
      <c r="X51" s="19" t="inlineStr">
        <is>
          <t>Yes</t>
        </is>
      </c>
      <c r="Y51" s="19" t="inlineStr">
        <is>
          <t>I am writing to formally lodge a complaint against PKLI regarding the treatment and handling of my late brother, who was a liver tumor patient and was under consultation at your hospital. My brother was an OPD patient at PKLI, and we had been consulting Dr. Ahmad Karim Malik and Dr. Imran Syed regarding his condition. On 8 January, we visited PKLI for a follow-up appointment with Dr. Imran Syed. During that visit, we were instructed to get certain baseline tests done. We complied and completed the required tests. However, after returning home, we received no communication whatsoever regarding the test results, the seriousness of his condition, or any further urgent medical advice. At no point where we informed that his condition was critical, nor were we advised that he required immediate admission, urgent intervention, or any emergency management such as drainage of abdominal fluid. Instead, throughout the course of treatment, the doctors repeatedly insisted on liver transplant as the only option, despite the fact that they were fully aware that we did not have a donor available. We believe that the treating doctors failed in their duty to properly guide us regarding the actual medical urgency of the patient’s condition and failed to offer or discuss other immediate supportive or life-saving treatment options. On 19 January, my brother developed excruciating pain, and we rushed him to the PKLI Emergency Department at approximately 2:00 PM. Unfortunately, what happened there was deeply shocking, painful, and unacceptable. The doctor on duty in the emergency did not attend to my brother in a timely and serious manner. Instead of responding professionally to a critical patient, the doctor appeared occupied in inappropriate personal interaction with a female colleague in front of us while my brother was in severe distress. This conduct was highly unprofessional and inhumane. Moreover, the emergency staff refused to treat or admit him, stating that no bed was available and that their procedures were lengthy, and told us that they could not facilitate us. A critically ill liver patient in severe pain was therefore denied timely emergency care by PKLI. Left with no meaningful help from your hospital, we were forced to take him to Services Hospital, where sadly he passed away in the early morning of 20 January. We strongly believe that the following acts and omissions on the part of PKLI and its concerned doctors/staff amount to serious negligence and misconduct:</t>
        </is>
      </c>
      <c r="Z51" s="19" t="n"/>
      <c r="AA51" s="19" t="n"/>
      <c r="AB51" s="19" t="n"/>
      <c r="AC51" s="19" t="n"/>
      <c r="AD51" s="19" t="n">
        <v>1</v>
      </c>
    </row>
    <row r="52">
      <c r="A52" s="19" t="n">
        <v>51</v>
      </c>
      <c r="B52" s="19" t="n">
        <v>2026</v>
      </c>
      <c r="C52" s="19" t="inlineStr">
        <is>
          <t>March</t>
        </is>
      </c>
      <c r="D52" s="19" t="n">
        <v>46083</v>
      </c>
      <c r="E52" s="19" t="inlineStr">
        <is>
          <t>C-002-02-03-2026</t>
        </is>
      </c>
      <c r="F52" s="19" t="n"/>
      <c r="G52" s="19" t="n"/>
      <c r="H52" s="19" t="n"/>
      <c r="I52" s="19" t="n"/>
      <c r="J52" s="19" t="n"/>
      <c r="K52" s="19" t="n"/>
      <c r="L52" s="19" t="n">
        <v>46083</v>
      </c>
      <c r="M52" s="19" t="n">
        <v>46083</v>
      </c>
      <c r="N52" s="19" t="inlineStr">
        <is>
          <t>6-Mar-26 12 PM</t>
        </is>
      </c>
      <c r="O52" s="19" t="inlineStr">
        <is>
          <t>6-Mar-26</t>
        </is>
      </c>
      <c r="P52" s="19" t="inlineStr">
        <is>
          <t>12 PM</t>
        </is>
      </c>
      <c r="Q52" s="19" t="inlineStr">
        <is>
          <t>Gastro</t>
        </is>
      </c>
      <c r="R52" s="19" t="n"/>
      <c r="S52" s="19" t="inlineStr">
        <is>
          <t>Noor</t>
        </is>
      </c>
      <c r="T52" s="19" t="n">
        <v>46105</v>
      </c>
      <c r="U52" s="19" t="inlineStr">
        <is>
          <t>Medical</t>
        </is>
      </c>
      <c r="V52" s="19" t="inlineStr">
        <is>
          <t>Service Delay - EUS Procedure</t>
        </is>
      </c>
      <c r="W52" s="19" t="inlineStr">
        <is>
          <t>Major</t>
        </is>
      </c>
      <c r="X52" s="19" t="inlineStr">
        <is>
          <t>Yes</t>
        </is>
      </c>
      <c r="Y52" s="19" t="inlineStr">
        <is>
          <t>I am from Rawalpindi, PKLI Rawalpindi refer to PKLI Lahore for EUS. They sent us to Lahore for EUS, but the EUS procedure hasn't happened yet. It's been 1.5 months; they're calling us and discharging us repeatedly. Every time they discharge us without doing the EUS, saying it will be done later. He is saying for stunt but without doing the stunt procedure.</t>
        </is>
      </c>
      <c r="Z52" s="19" t="n"/>
      <c r="AA52" s="19" t="n"/>
      <c r="AB52" s="19" t="n"/>
      <c r="AC52" s="19" t="n"/>
      <c r="AD52" s="19" t="n">
        <v>1</v>
      </c>
    </row>
    <row r="53">
      <c r="A53" s="19" t="n">
        <v>52</v>
      </c>
      <c r="B53" s="19" t="n">
        <v>2026</v>
      </c>
      <c r="C53" s="19" t="inlineStr">
        <is>
          <t>March</t>
        </is>
      </c>
      <c r="D53" s="19" t="n">
        <v>46085</v>
      </c>
      <c r="E53" s="19" t="inlineStr">
        <is>
          <t>C-001-04-03-2026</t>
        </is>
      </c>
      <c r="F53" s="19" t="n">
        <v>46086</v>
      </c>
      <c r="G53" s="19" t="inlineStr">
        <is>
          <t>Kalsoom Bibi</t>
        </is>
      </c>
      <c r="H53" s="19" t="n">
        <v>973244</v>
      </c>
      <c r="I53" s="19" t="inlineStr">
        <is>
          <t>Abdul Razzaq</t>
        </is>
      </c>
      <c r="J53" s="19" t="inlineStr">
        <is>
          <t>0321-4798503</t>
        </is>
      </c>
      <c r="K53" s="19" t="n"/>
      <c r="L53" s="19" t="n">
        <v>46085</v>
      </c>
      <c r="M53" s="19" t="n">
        <v>46086</v>
      </c>
      <c r="N53" s="19" t="inlineStr">
        <is>
          <t>10-Mar-26 2 pm</t>
        </is>
      </c>
      <c r="O53" s="19" t="inlineStr">
        <is>
          <t>10-Mar-26</t>
        </is>
      </c>
      <c r="P53" s="19" t="inlineStr">
        <is>
          <t>2 pm</t>
        </is>
      </c>
      <c r="Q53" s="19" t="inlineStr">
        <is>
          <t>Urology</t>
        </is>
      </c>
      <c r="R53" s="19" t="n">
        <v>46086</v>
      </c>
      <c r="S53" s="19" t="inlineStr">
        <is>
          <t>Dr. Warda Riaz</t>
        </is>
      </c>
      <c r="T53" s="19" t="n">
        <v>46127</v>
      </c>
      <c r="U53" s="19" t="inlineStr">
        <is>
          <t>Medical</t>
        </is>
      </c>
      <c r="V53" s="19" t="inlineStr">
        <is>
          <t>Quality of Care</t>
        </is>
      </c>
      <c r="W53" s="19" t="inlineStr">
        <is>
          <t>Major</t>
        </is>
      </c>
      <c r="X53" s="19" t="inlineStr">
        <is>
          <t>Yes</t>
        </is>
      </c>
      <c r="Y53" s="19" t="inlineStr">
        <is>
          <t>My sister was diagnosed with hydronephrosis in both kidneys. RIRS Procedure for removing kidney stone from left kidney was carried out on 06 Oct 2025 with additional information that right kidney has gross hydronephrosis. In order to check functioning of right kidney, it will be first cleared of blockage thru stent. Later it was revealed that no stent was inserted and nephrostomy tube was inserted instead on 05 Jan 26. The tube has caused infection and despite repeated follow ups nobody is listening to. More so, tests are being repeated with no headway or clear advice. Following tests have been carried out repeatedly incurring lot of money unaffordable for the poor family managing treatment through zakat funds. -CT scan (03 times) -DMSA (02 times) -Anesthetic assessment for procedure (04 times) -And some other supporting tests. The procedure may be done on priority to avoid loss of a life</t>
        </is>
      </c>
      <c r="Z53" s="19" t="n"/>
      <c r="AA53" s="19" t="n"/>
      <c r="AB53" s="19" t="n"/>
      <c r="AC53" s="19" t="n"/>
      <c r="AD53" s="19" t="n">
        <v>1</v>
      </c>
    </row>
    <row r="54">
      <c r="A54" s="19" t="n">
        <v>53</v>
      </c>
      <c r="B54" s="19" t="n">
        <v>2026</v>
      </c>
      <c r="C54" s="19" t="inlineStr">
        <is>
          <t>March</t>
        </is>
      </c>
      <c r="D54" s="19" t="n">
        <v>46087</v>
      </c>
      <c r="E54" s="19" t="inlineStr">
        <is>
          <t>C-001-06-03-2026</t>
        </is>
      </c>
      <c r="F54" s="19" t="n">
        <v>46087</v>
      </c>
      <c r="G54" s="19" t="n"/>
      <c r="H54" s="19" t="n"/>
      <c r="I54" s="19" t="n"/>
      <c r="J54" s="19" t="n"/>
      <c r="K54" s="19" t="n"/>
      <c r="L54" s="19" t="n">
        <v>46087</v>
      </c>
      <c r="M54" s="19" t="n">
        <v>46087</v>
      </c>
      <c r="N54" s="19" t="n"/>
      <c r="O54" s="19" t="n"/>
      <c r="P54" s="19" t="n"/>
      <c r="Q54" s="19" t="inlineStr">
        <is>
          <t>Transport</t>
        </is>
      </c>
      <c r="R54" s="19" t="n"/>
      <c r="S54" s="19" t="inlineStr">
        <is>
          <t>Mr. Khalid</t>
        </is>
      </c>
      <c r="T54" s="19" t="n">
        <v>46105</v>
      </c>
      <c r="U54" s="19" t="inlineStr">
        <is>
          <t>Hospital</t>
        </is>
      </c>
      <c r="V54" s="19" t="inlineStr">
        <is>
          <t>Operational Issue</t>
        </is>
      </c>
      <c r="W54" s="19" t="inlineStr">
        <is>
          <t>Minor</t>
        </is>
      </c>
      <c r="X54" s="19" t="inlineStr">
        <is>
          <t>No</t>
        </is>
      </c>
      <c r="Y54" s="19" t="inlineStr">
        <is>
          <t>Transport didn't pick up the staff.</t>
        </is>
      </c>
      <c r="Z54" s="19" t="n"/>
      <c r="AA54" s="19" t="n"/>
      <c r="AB54" s="19" t="n"/>
      <c r="AC54" s="19" t="n"/>
      <c r="AD54" s="19" t="n">
        <v>1</v>
      </c>
    </row>
    <row r="55">
      <c r="A55" s="19" t="n">
        <v>54</v>
      </c>
      <c r="B55" s="19" t="n">
        <v>2026</v>
      </c>
      <c r="C55" s="19" t="inlineStr">
        <is>
          <t>March</t>
        </is>
      </c>
      <c r="D55" s="19" t="n">
        <v>46090</v>
      </c>
      <c r="E55" s="19" t="inlineStr">
        <is>
          <t>C-001-09-03-2026</t>
        </is>
      </c>
      <c r="F55" s="19" t="n">
        <v>46090</v>
      </c>
      <c r="G55" s="19" t="n"/>
      <c r="H55" s="19" t="n"/>
      <c r="I55" s="19" t="n"/>
      <c r="J55" s="19" t="n"/>
      <c r="K55" s="19" t="n"/>
      <c r="L55" s="19" t="n">
        <v>46090</v>
      </c>
      <c r="M55" s="19" t="n">
        <v>46090</v>
      </c>
      <c r="N55" s="19" t="inlineStr">
        <is>
          <t>13-Mar-26 2 pm</t>
        </is>
      </c>
      <c r="O55" s="19" t="inlineStr">
        <is>
          <t>13-Mar-26</t>
        </is>
      </c>
      <c r="P55" s="19" t="inlineStr">
        <is>
          <t>2 pm</t>
        </is>
      </c>
      <c r="Q55" s="19" t="inlineStr">
        <is>
          <t>Pharmacy Gastro</t>
        </is>
      </c>
      <c r="R55" s="19" t="inlineStr">
        <is>
          <t>10-Mar-26 10-Mar-26</t>
        </is>
      </c>
      <c r="S55" s="19" t="inlineStr">
        <is>
          <t>Mr. Mujtaba Mr. Noor</t>
        </is>
      </c>
      <c r="T55" s="19" t="n">
        <v>46112</v>
      </c>
      <c r="U55" s="19" t="inlineStr">
        <is>
          <t>Hospital Medical</t>
        </is>
      </c>
      <c r="V55" s="19" t="inlineStr">
        <is>
          <t>Quality of Care</t>
        </is>
      </c>
      <c r="W55" s="19" t="inlineStr">
        <is>
          <t>Major</t>
        </is>
      </c>
      <c r="X55" s="19" t="inlineStr">
        <is>
          <t>Yes</t>
        </is>
      </c>
      <c r="Y55" s="19" t="inlineStr">
        <is>
          <t>It is requested that my patient is admitted in your hospital, His name is Khalid Javed MRN#1132177. Dr Khurram Anis prescribed a medicine named Lenvatinib 4Mg, for which I got approval from the Dean of Hospital for one month dose, but Pharmacy issued for only 15 days and asked to come for more after 15 days. Today When I came after 15 days, I was told by the pharmacy that we don’t have this medicine now. Sir My patient is in pain and here we are treated badly. We took appointment of Dr. Usman Aujla but in the Clinic, there was another Person who checked our patient, He asked us to don’t bring your patient here and advised us to give Dicloran injections to the patient, your patient have only 3 to 6 months now, and you don’t need to bring again here. Patients come to the hospital for recovery not to get despised by the staff.</t>
        </is>
      </c>
      <c r="Z55" s="19" t="inlineStr">
        <is>
          <t>Pharmacy: No gap identified from pharmacy as the subsequent scheduled supply was delayed. Gastro Response: It is likely that communication at that time may not have been delivered in a sufficciently and empathertic manner , which is particularly important in cases involving patients who have experienced life threatening conditions and are on the terminal care pathway.</t>
        </is>
      </c>
      <c r="AA55" s="19" t="inlineStr">
        <is>
          <t>Pharmacy : The medicine is now included in bulk tender and till the arrival of medicine through bulk tender , its quantity is increased in local purchase. Action Plan: 1-Constructive feedback has been provided to the senior registrar. Emphasis has been placed on the importance of compassionate an patient centered communication. 2-Appropriate measures have been taken to ensure that, going forward, all interactions between healthcare professionals and patients are conducted with empathy, sensitivity, and professionalism. 3-The steps are intended to enhance the quality of patient care and to uphold the professional integrity of both the medical staff and the institution.</t>
        </is>
      </c>
      <c r="AB55" s="19" t="n"/>
      <c r="AC55" s="19" t="n"/>
      <c r="AD55" s="19" t="n">
        <v>1</v>
      </c>
    </row>
    <row r="56">
      <c r="A56" s="19" t="n">
        <v>55</v>
      </c>
      <c r="B56" s="19" t="n">
        <v>2026</v>
      </c>
      <c r="C56" s="19" t="inlineStr">
        <is>
          <t>March</t>
        </is>
      </c>
      <c r="D56" s="19" t="n">
        <v>46090</v>
      </c>
      <c r="E56" s="19" t="inlineStr">
        <is>
          <t>C-002-09-03-2026</t>
        </is>
      </c>
      <c r="F56" s="19" t="n">
        <v>46090</v>
      </c>
      <c r="G56" s="19" t="n"/>
      <c r="H56" s="19" t="n"/>
      <c r="I56" s="19" t="n"/>
      <c r="J56" s="19" t="n"/>
      <c r="K56" s="19" t="n"/>
      <c r="L56" s="19" t="n">
        <v>46090</v>
      </c>
      <c r="M56" s="19" t="n">
        <v>46090</v>
      </c>
      <c r="N56" s="19" t="inlineStr">
        <is>
          <t>12-Mar-26 2pm</t>
        </is>
      </c>
      <c r="O56" s="19" t="inlineStr">
        <is>
          <t>12-Mar-26</t>
        </is>
      </c>
      <c r="P56" s="19" t="inlineStr">
        <is>
          <t>2pm</t>
        </is>
      </c>
      <c r="Q56" s="19" t="inlineStr">
        <is>
          <t>OPD FS</t>
        </is>
      </c>
      <c r="R56" s="19" t="inlineStr">
        <is>
          <t>10-Mar-26 10-Mar-26</t>
        </is>
      </c>
      <c r="S56" s="19" t="inlineStr">
        <is>
          <t>Mr. KASHIF Mr. ZAMEER</t>
        </is>
      </c>
      <c r="T56" s="19" t="inlineStr">
        <is>
          <t>25-Mar-26 25-Mar-26</t>
        </is>
      </c>
      <c r="U56" s="19" t="inlineStr">
        <is>
          <t>Hospital</t>
        </is>
      </c>
      <c r="V56" s="19" t="inlineStr">
        <is>
          <t>Service Delay - FS Assessment</t>
        </is>
      </c>
      <c r="W56" s="19" t="inlineStr">
        <is>
          <t>Minor</t>
        </is>
      </c>
      <c r="X56" s="19" t="inlineStr">
        <is>
          <t>No</t>
        </is>
      </c>
      <c r="Y56" s="19" t="inlineStr">
        <is>
          <t>Patient came for FS assessment but on his turn he was told that his token has already been used. However upon investigation it was found that the FS staff accomodated the patient with the same token number from a previous date in place of the complainant who had the valid token.</t>
        </is>
      </c>
      <c r="Z56" s="19" t="inlineStr">
        <is>
          <t>Human Error: The staff was newly inducted and under training , he accomodated the patient without noticing the date. System Limitation: Only one patient assessment allowed per token each day by the system.</t>
        </is>
      </c>
      <c r="AA56" s="19" t="inlineStr">
        <is>
          <t>A new token was issued to the patient and his FS was done. The staff has completed his training and calling patients by MRN instead of token number is suggested to avoid further confusion.</t>
        </is>
      </c>
      <c r="AB56" s="19" t="n"/>
      <c r="AC56" s="19" t="n"/>
      <c r="AD56" s="19" t="n">
        <v>1</v>
      </c>
    </row>
    <row r="57">
      <c r="A57" s="19" t="n">
        <v>56</v>
      </c>
      <c r="B57" s="19" t="n">
        <v>2026</v>
      </c>
      <c r="C57" s="19" t="inlineStr">
        <is>
          <t>March</t>
        </is>
      </c>
      <c r="D57" s="19" t="n">
        <v>46090</v>
      </c>
      <c r="E57" s="19" t="inlineStr">
        <is>
          <t>C-003-09-03-2026</t>
        </is>
      </c>
      <c r="F57" s="19" t="n">
        <v>46090</v>
      </c>
      <c r="G57" s="19" t="n"/>
      <c r="H57" s="19" t="n"/>
      <c r="I57" s="19" t="n"/>
      <c r="J57" s="19" t="n"/>
      <c r="K57" s="19" t="n"/>
      <c r="L57" s="19" t="n">
        <v>46090</v>
      </c>
      <c r="M57" s="19" t="n">
        <v>46090</v>
      </c>
      <c r="N57" s="19" t="inlineStr">
        <is>
          <t>12-Mar-26 2pm</t>
        </is>
      </c>
      <c r="O57" s="19" t="inlineStr">
        <is>
          <t>12-Mar-26</t>
        </is>
      </c>
      <c r="P57" s="19" t="inlineStr">
        <is>
          <t>2pm</t>
        </is>
      </c>
      <c r="Q57" s="19" t="inlineStr">
        <is>
          <t>Radiology</t>
        </is>
      </c>
      <c r="R57" s="19" t="n">
        <v>46091</v>
      </c>
      <c r="S57" s="19" t="inlineStr">
        <is>
          <t>Mr. Qudoos</t>
        </is>
      </c>
      <c r="T57" s="19" t="n"/>
      <c r="U57" s="19" t="inlineStr">
        <is>
          <t>Medical</t>
        </is>
      </c>
      <c r="V57" s="19" t="inlineStr">
        <is>
          <t>Service Delay - CT Scan</t>
        </is>
      </c>
      <c r="W57" s="19" t="inlineStr">
        <is>
          <t>Moderate</t>
        </is>
      </c>
      <c r="X57" s="19" t="inlineStr">
        <is>
          <t>Yes</t>
        </is>
      </c>
      <c r="Y57" s="19" t="inlineStr">
        <is>
          <t>Patient came for CT scan as advised by Dr. Ihsan ul Haq but he was told by the radiology reception staff that department is closed as it is Saturday , he can get his scan done on Monday. His MDT follow up was on Tuesday. Patient is requesting not to close the facility on weekends.</t>
        </is>
      </c>
      <c r="Z57" s="19" t="n"/>
      <c r="AA57" s="19" t="n"/>
      <c r="AB57" s="19" t="n"/>
      <c r="AC57" s="19" t="n"/>
      <c r="AD57" s="19" t="n">
        <v>1</v>
      </c>
    </row>
    <row r="58">
      <c r="A58" s="19" t="n">
        <v>57</v>
      </c>
      <c r="B58" s="19" t="n">
        <v>2026</v>
      </c>
      <c r="C58" s="19" t="inlineStr">
        <is>
          <t>March</t>
        </is>
      </c>
      <c r="D58" s="19" t="n">
        <v>46091</v>
      </c>
      <c r="E58" s="19" t="inlineStr">
        <is>
          <t>C-001-10-03-2026</t>
        </is>
      </c>
      <c r="F58" s="19" t="n">
        <v>46091</v>
      </c>
      <c r="G58" s="19" t="n"/>
      <c r="H58" s="19" t="n"/>
      <c r="I58" s="19" t="n"/>
      <c r="J58" s="19" t="n"/>
      <c r="K58" s="19" t="n"/>
      <c r="L58" s="19" t="n">
        <v>46091</v>
      </c>
      <c r="M58" s="19" t="n">
        <v>46091</v>
      </c>
      <c r="N58" s="19" t="inlineStr">
        <is>
          <t>16-Mar-26 2pm</t>
        </is>
      </c>
      <c r="O58" s="19" t="inlineStr">
        <is>
          <t>16-Mar-26</t>
        </is>
      </c>
      <c r="P58" s="19" t="inlineStr">
        <is>
          <t>2pm</t>
        </is>
      </c>
      <c r="Q58" s="19" t="inlineStr">
        <is>
          <t>Gastro</t>
        </is>
      </c>
      <c r="R58" s="19" t="n">
        <v>46092</v>
      </c>
      <c r="S58" s="19" t="inlineStr">
        <is>
          <t>Mr. Sheeraz</t>
        </is>
      </c>
      <c r="T58" s="19" t="n">
        <v>46112</v>
      </c>
      <c r="U58" s="19" t="inlineStr">
        <is>
          <t>Medical</t>
        </is>
      </c>
      <c r="V58" s="19" t="inlineStr">
        <is>
          <t>Quality of Care</t>
        </is>
      </c>
      <c r="W58" s="19" t="inlineStr">
        <is>
          <t>Minor</t>
        </is>
      </c>
      <c r="X58" s="19" t="inlineStr">
        <is>
          <t>No</t>
        </is>
      </c>
      <c r="Y58" s="19" t="inlineStr">
        <is>
          <t>Patient Muslim Khan underwent EUS + FNB procedure and after the procedure staff handed over the report copy and discharged the patient .Dr.Usman Iqbal Aujla didn't provided prost-procedure guidelines.</t>
        </is>
      </c>
      <c r="Z58" s="19" t="inlineStr">
        <is>
          <t>No Gap identified as there has been no lapse in clinical communication.</t>
        </is>
      </c>
      <c r="AA58" s="19" t="inlineStr">
        <is>
          <t>Not Required.</t>
        </is>
      </c>
      <c r="AB58" s="19" t="n"/>
      <c r="AC58" s="19" t="n"/>
      <c r="AD58" s="19" t="n">
        <v>1</v>
      </c>
    </row>
    <row r="59">
      <c r="A59" s="19" t="n">
        <v>58</v>
      </c>
      <c r="B59" s="19" t="n">
        <v>2026</v>
      </c>
      <c r="C59" s="19" t="inlineStr">
        <is>
          <t>March</t>
        </is>
      </c>
      <c r="D59" s="19" t="n">
        <v>46091</v>
      </c>
      <c r="E59" s="19" t="inlineStr">
        <is>
          <t>C-002-10-03-2026</t>
        </is>
      </c>
      <c r="F59" s="19" t="n">
        <v>46091</v>
      </c>
      <c r="G59" s="19" t="n"/>
      <c r="H59" s="19" t="n"/>
      <c r="I59" s="19" t="n"/>
      <c r="J59" s="19" t="n"/>
      <c r="K59" s="19" t="n"/>
      <c r="L59" s="19" t="n">
        <v>46091</v>
      </c>
      <c r="M59" s="19" t="n">
        <v>46091</v>
      </c>
      <c r="N59" s="19" t="inlineStr">
        <is>
          <t>16-Mar-26 2pm</t>
        </is>
      </c>
      <c r="O59" s="19" t="inlineStr">
        <is>
          <t>16-Mar-26</t>
        </is>
      </c>
      <c r="P59" s="19" t="inlineStr">
        <is>
          <t>2pm</t>
        </is>
      </c>
      <c r="Q59" s="19" t="inlineStr">
        <is>
          <t>Gastro</t>
        </is>
      </c>
      <c r="R59" s="19" t="n">
        <v>46092</v>
      </c>
      <c r="S59" s="19" t="inlineStr">
        <is>
          <t>Mr. Sheeraz</t>
        </is>
      </c>
      <c r="T59" s="19" t="n">
        <v>46107</v>
      </c>
      <c r="U59" s="19" t="inlineStr">
        <is>
          <t>Medical</t>
        </is>
      </c>
      <c r="V59" s="19" t="inlineStr">
        <is>
          <t>Service Delay - Check up</t>
        </is>
      </c>
      <c r="W59" s="19" t="inlineStr">
        <is>
          <t>Moderate</t>
        </is>
      </c>
      <c r="X59" s="19" t="inlineStr">
        <is>
          <t>Yes</t>
        </is>
      </c>
      <c r="Y59" s="19" t="inlineStr">
        <is>
          <t>The doctors don't come on time. They are always away while being on their OPD timings. Bhai koi inko puchna wala nahi. Koi inko batao ke Bhai jab OPD TIME hai to OPD mein betho naa ap log or so kam karne lag jate ho. Jab unke coordinator se pucho to bolte humein nahi pata kab ayenge, hum nahi puch sakte ke woh kab ayeinge, apko bas chup karke wait karna pare ga. Jab bhi ao ya to doctor interviews mein bethe hotay ya phir kisi conference mein ya phir koi or kaam. Kabhi bhi humein doctor time par nahi mila. Humein 10 AM ka time dia gaya tha or hum 9 baje pohanch chukay thay. Or doctor humein mashallah se 1 baje mila or ye nahi ke ye koi khaas baat hai PKLI ke doctors ka patients ko 1-3 ghantay wait karwana to inke liye regular hai. Apko patients ka koi ihsas nahi, na apko patients ke time ki koi qadar hai. Banda bahir beth kar zaleel hota rahe bas doctor ne to tab hi check karna inka MOOD ho ga. Ajeeb harkat hein. No doctor specifically, they are all as i spoke above. None of them have the time of the day to attend to patients. 1-2 Ghantay patients ko zaleel karne ke baad ye ate hein or MAXIMUM 3 MIN baat karke nikal jata hai. If someone is above these doctors, then please take notice of this. These doctors need to value their patients and need to acknowledge that patients' time is also valuable!</t>
        </is>
      </c>
      <c r="Z59" s="19" t="inlineStr">
        <is>
          <t>Patient's appointment time was 10 am but he got checked at 1 pm as the doctor was not avaiable the coordinators also didn't inform about the arrival time of doctor. The patient never finds doctor on time and the doctors are always busy in interviews and conferences.</t>
        </is>
      </c>
      <c r="AA59" s="19" t="inlineStr">
        <is>
          <t>1- Doctor occupied in interviews during OPD hours leading to delays in OPD consultations. 2-clinical staff unable to provide accurate information regarding doctor arrival times. 3-After doctor arrival the patient experienced prolonged waiting at vitals.</t>
        </is>
      </c>
      <c r="AB59" s="19" t="inlineStr">
        <is>
          <t>Enforcement of strict adherence to OPD schedules , ensure real-time communication between doctors and clinic staff regarding availability, and improve coordination at vitals to minimize patient waiting times and enhance overall clinic efficiency.</t>
        </is>
      </c>
      <c r="AC59" s="19" t="n"/>
      <c r="AD59" s="19" t="n">
        <v>1</v>
      </c>
    </row>
    <row r="60">
      <c r="A60" s="19" t="n">
        <v>59</v>
      </c>
      <c r="B60" s="19" t="n">
        <v>2026</v>
      </c>
      <c r="C60" s="19" t="inlineStr">
        <is>
          <t>March</t>
        </is>
      </c>
      <c r="D60" s="19" t="n">
        <v>46092</v>
      </c>
      <c r="E60" s="19" t="inlineStr">
        <is>
          <t>C-001-11-03-2026</t>
        </is>
      </c>
      <c r="F60" s="19" t="n">
        <v>46092</v>
      </c>
      <c r="G60" s="19" t="inlineStr">
        <is>
          <t>M. Ayyan</t>
        </is>
      </c>
      <c r="H60" s="19" t="n">
        <v>1138750</v>
      </c>
      <c r="I60" s="19" t="inlineStr">
        <is>
          <t>Asar Khan</t>
        </is>
      </c>
      <c r="J60" s="19" t="inlineStr">
        <is>
          <t>0300-3570676</t>
        </is>
      </c>
      <c r="K60" s="19" t="inlineStr">
        <is>
          <t>Karachi</t>
        </is>
      </c>
      <c r="L60" s="19" t="n">
        <v>46092</v>
      </c>
      <c r="M60" s="19" t="n">
        <v>46093</v>
      </c>
      <c r="N60" s="19" t="inlineStr">
        <is>
          <t>19-Mar-26 2pm</t>
        </is>
      </c>
      <c r="O60" s="19" t="inlineStr">
        <is>
          <t>19-Mar-26</t>
        </is>
      </c>
      <c r="P60" s="19" t="inlineStr">
        <is>
          <t>2pm</t>
        </is>
      </c>
      <c r="Q60" s="19" t="inlineStr">
        <is>
          <t>Pharmacy AMU</t>
        </is>
      </c>
      <c r="R60" s="19" t="n">
        <v>46093</v>
      </c>
      <c r="S60" s="19" t="inlineStr">
        <is>
          <t>Ms. Sana Dr. Ahmad Sheri</t>
        </is>
      </c>
      <c r="T60" s="19" t="inlineStr">
        <is>
          <t>17-Mar-26 26-Mar-26</t>
        </is>
      </c>
      <c r="U60" s="19" t="inlineStr">
        <is>
          <t>Medical Hospital</t>
        </is>
      </c>
      <c r="V60" s="19" t="inlineStr">
        <is>
          <t>Service Delay - Antibiotic Administration</t>
        </is>
      </c>
      <c r="W60" s="19" t="inlineStr">
        <is>
          <t>Major</t>
        </is>
      </c>
      <c r="X60" s="19" t="inlineStr">
        <is>
          <t>Yes</t>
        </is>
      </c>
      <c r="Y60" s="19" t="inlineStr">
        <is>
          <t>This Patient came for administration of Antibiotic injection advised by Pead’s Nephrologist. -Doctor entered the antibiotic in Sisoft. -Hospital staff and patient’s attendant himself went to OPD Pharmacy many times but every time they said, medicine is not appearing in the system. AMU: Patient presented same day in ER, His BP was high but there was no Peads doctor available. A senior lady doctor in AMU said, if a patient reaches in emergency with critical condition, it takes almost an hour to receive medicines.</t>
        </is>
      </c>
      <c r="Z60" s="19" t="inlineStr">
        <is>
          <t>Training gap: The entry was wrongly done by the doctors.</t>
        </is>
      </c>
      <c r="AA60" s="19" t="inlineStr">
        <is>
          <t>Training of doctors on correct order entry will be conducted by the ICT department.</t>
        </is>
      </c>
      <c r="AB60" s="19" t="n"/>
      <c r="AC60" s="19" t="n"/>
      <c r="AD60" s="19" t="n">
        <v>1</v>
      </c>
    </row>
    <row r="61">
      <c r="A61" s="19" t="n">
        <v>60</v>
      </c>
      <c r="B61" s="19" t="n">
        <v>2026</v>
      </c>
      <c r="C61" s="19" t="inlineStr">
        <is>
          <t>March</t>
        </is>
      </c>
      <c r="D61" s="19" t="n">
        <v>46092</v>
      </c>
      <c r="E61" s="19" t="inlineStr">
        <is>
          <t>C-002-11-03-2026</t>
        </is>
      </c>
      <c r="F61" s="19" t="n">
        <v>46092</v>
      </c>
      <c r="G61" s="19" t="n"/>
      <c r="H61" s="19" t="n"/>
      <c r="I61" s="19" t="n"/>
      <c r="J61" s="19" t="n"/>
      <c r="K61" s="19" t="n"/>
      <c r="L61" s="19" t="n">
        <v>46092</v>
      </c>
      <c r="M61" s="19" t="n">
        <v>46093</v>
      </c>
      <c r="N61" s="19" t="inlineStr">
        <is>
          <t>17-Mar-26 2pm</t>
        </is>
      </c>
      <c r="O61" s="19" t="inlineStr">
        <is>
          <t>17-Mar-26</t>
        </is>
      </c>
      <c r="P61" s="19" t="inlineStr">
        <is>
          <t>2pm</t>
        </is>
      </c>
      <c r="Q61" s="19" t="inlineStr">
        <is>
          <t>Nursing</t>
        </is>
      </c>
      <c r="R61" s="19" t="n">
        <v>46092</v>
      </c>
      <c r="S61" s="19" t="inlineStr">
        <is>
          <t>Ms. Tahira</t>
        </is>
      </c>
      <c r="T61" s="19" t="n"/>
      <c r="U61" s="19" t="inlineStr">
        <is>
          <t>Nursing</t>
        </is>
      </c>
      <c r="V61" s="19" t="inlineStr">
        <is>
          <t>Service Delay - IR Assessment</t>
        </is>
      </c>
      <c r="W61" s="19" t="inlineStr">
        <is>
          <t>Minor</t>
        </is>
      </c>
      <c r="X61" s="19" t="inlineStr">
        <is>
          <t>Yes</t>
        </is>
      </c>
      <c r="Y61" s="19" t="inlineStr">
        <is>
          <t>The patient came into the IR assessment room and the staff there were very lazy and engaged in gossiping with the patients. He waited for BMI for 40 minutes and asked the staff to speed up the process as the patients were on fasting but the staff present there told him that he could go anywhere to file his complaint.</t>
        </is>
      </c>
      <c r="Z61" s="19" t="n"/>
      <c r="AA61" s="19" t="n"/>
      <c r="AB61" s="19" t="n"/>
      <c r="AC61" s="19" t="n"/>
      <c r="AD61" s="19" t="n">
        <v>1</v>
      </c>
    </row>
    <row r="62">
      <c r="A62" s="19" t="n">
        <v>61</v>
      </c>
      <c r="B62" s="19" t="n">
        <v>2026</v>
      </c>
      <c r="C62" s="19" t="inlineStr">
        <is>
          <t>March</t>
        </is>
      </c>
      <c r="D62" s="19" t="n">
        <v>46092</v>
      </c>
      <c r="E62" s="19" t="inlineStr">
        <is>
          <t>C-003-11-03-2026</t>
        </is>
      </c>
      <c r="F62" s="19" t="n">
        <v>46092</v>
      </c>
      <c r="G62" s="19" t="inlineStr">
        <is>
          <t>Adeel Fatima</t>
        </is>
      </c>
      <c r="H62" s="19" t="n">
        <v>1103062</v>
      </c>
      <c r="I62" s="19" t="inlineStr">
        <is>
          <t>Dr. Houria Javed</t>
        </is>
      </c>
      <c r="J62" s="19" t="inlineStr">
        <is>
          <t>0331-5142677</t>
        </is>
      </c>
      <c r="K62" s="19" t="inlineStr">
        <is>
          <t>Islamabad</t>
        </is>
      </c>
      <c r="L62" s="19" t="n">
        <v>46092</v>
      </c>
      <c r="M62" s="19" t="n">
        <v>46092</v>
      </c>
      <c r="N62" s="19" t="inlineStr">
        <is>
          <t>12-Mar-26 12pm</t>
        </is>
      </c>
      <c r="O62" s="19" t="inlineStr">
        <is>
          <t>12-Mar-26</t>
        </is>
      </c>
      <c r="P62" s="19" t="inlineStr">
        <is>
          <t>12pm</t>
        </is>
      </c>
      <c r="Q62" s="19" t="inlineStr">
        <is>
          <t>Nursing</t>
        </is>
      </c>
      <c r="R62" s="19" t="n">
        <v>46092</v>
      </c>
      <c r="S62" s="19" t="inlineStr">
        <is>
          <t>MS. Tahira</t>
        </is>
      </c>
      <c r="T62" s="19" t="inlineStr">
        <is>
          <t>Received</t>
        </is>
      </c>
      <c r="U62" s="19" t="inlineStr">
        <is>
          <t>Nursing</t>
        </is>
      </c>
      <c r="V62" s="19" t="inlineStr">
        <is>
          <t>Communication</t>
        </is>
      </c>
      <c r="W62" s="19" t="inlineStr">
        <is>
          <t>Major</t>
        </is>
      </c>
      <c r="X62" s="19" t="inlineStr">
        <is>
          <t>Yes</t>
        </is>
      </c>
      <c r="Y62" s="19" t="inlineStr">
        <is>
          <t>Mr. Nathaniel offered malaysian herbs to the patient of liver transplant and guided her not to move forward towards transplant.Patient faced confusion.</t>
        </is>
      </c>
      <c r="Z62" s="19" t="n"/>
      <c r="AA62" s="19" t="inlineStr">
        <is>
          <t>A formal disciplinary action has been taken against the staff nurse.</t>
        </is>
      </c>
      <c r="AB62" s="19" t="n"/>
      <c r="AC62" s="19" t="inlineStr">
        <is>
          <t>Y</t>
        </is>
      </c>
      <c r="AD62" s="19" t="n">
        <v>1</v>
      </c>
    </row>
    <row r="63">
      <c r="A63" s="19" t="n">
        <v>62</v>
      </c>
      <c r="B63" s="19" t="n">
        <v>2026</v>
      </c>
      <c r="C63" s="19" t="inlineStr">
        <is>
          <t>March</t>
        </is>
      </c>
      <c r="D63" s="19" t="n">
        <v>46094</v>
      </c>
      <c r="E63" s="19" t="inlineStr">
        <is>
          <t>C-001-13-03-2026</t>
        </is>
      </c>
      <c r="F63" s="19" t="n">
        <v>46094</v>
      </c>
      <c r="G63" s="19" t="n"/>
      <c r="H63" s="19" t="n"/>
      <c r="I63" s="19" t="n"/>
      <c r="J63" s="19" t="n"/>
      <c r="K63" s="19" t="n"/>
      <c r="L63" s="19" t="n">
        <v>46094</v>
      </c>
      <c r="M63" s="19" t="n">
        <v>46093</v>
      </c>
      <c r="N63" s="19" t="inlineStr">
        <is>
          <t>19-Mar-26 2pm</t>
        </is>
      </c>
      <c r="O63" s="19" t="inlineStr">
        <is>
          <t>19-Mar-26</t>
        </is>
      </c>
      <c r="P63" s="19" t="inlineStr">
        <is>
          <t>2pm</t>
        </is>
      </c>
      <c r="Q63" s="19" t="inlineStr">
        <is>
          <t>Gastro</t>
        </is>
      </c>
      <c r="R63" s="19" t="n">
        <v>46094</v>
      </c>
      <c r="S63" s="19" t="inlineStr">
        <is>
          <t>Ms. Sumaira Kalsoom</t>
        </is>
      </c>
      <c r="T63" s="19" t="n"/>
      <c r="U63" s="19" t="inlineStr">
        <is>
          <t>Medical</t>
        </is>
      </c>
      <c r="V63" s="19" t="inlineStr">
        <is>
          <t>Quality of Care</t>
        </is>
      </c>
      <c r="W63" s="19" t="inlineStr">
        <is>
          <t>Major</t>
        </is>
      </c>
      <c r="X63" s="19" t="inlineStr">
        <is>
          <t>No</t>
        </is>
      </c>
      <c r="Y63" s="19" t="inlineStr">
        <is>
          <t>Patient was sick and needed to shift to MICU as per orders of medical ICU team after assessment of patient in IPD upon consultation, and as per SOPs Dr. Lubna MO on duty needed to accompany the patient along with nursing staff while shifting to ICU but Dr. Lubna refused to accompany the patient and not went to shift the patient.</t>
        </is>
      </c>
      <c r="Z63" s="19" t="n"/>
      <c r="AA63" s="19" t="inlineStr">
        <is>
          <t>Doctor Lubna was counselled for not following the protocol.</t>
        </is>
      </c>
      <c r="AB63" s="19" t="n"/>
      <c r="AC63" s="19" t="n"/>
      <c r="AD63" s="19" t="n">
        <v>1</v>
      </c>
    </row>
    <row r="64">
      <c r="A64" s="19" t="n">
        <v>63</v>
      </c>
      <c r="B64" s="19" t="n">
        <v>2026</v>
      </c>
      <c r="C64" s="19" t="inlineStr">
        <is>
          <t>March</t>
        </is>
      </c>
      <c r="D64" s="19" t="n">
        <v>46097</v>
      </c>
      <c r="E64" s="19" t="inlineStr">
        <is>
          <t>C-002-16-03-2026</t>
        </is>
      </c>
      <c r="F64" s="19" t="n">
        <v>46097</v>
      </c>
      <c r="G64" s="19" t="inlineStr">
        <is>
          <t>Afsheen Zeeshan</t>
        </is>
      </c>
      <c r="H64" s="19" t="n">
        <v>1076488</v>
      </c>
      <c r="I64" s="19" t="inlineStr">
        <is>
          <t>Dr. Salman Shehzad</t>
        </is>
      </c>
      <c r="J64" s="19" t="inlineStr">
        <is>
          <t>0333-4590374</t>
        </is>
      </c>
      <c r="K64" s="19" t="n"/>
      <c r="L64" s="19" t="n">
        <v>46097</v>
      </c>
      <c r="M64" s="19" t="n">
        <v>46097</v>
      </c>
      <c r="N64" s="19" t="inlineStr">
        <is>
          <t>19-Mar-26 2pm</t>
        </is>
      </c>
      <c r="O64" s="19" t="inlineStr">
        <is>
          <t>19-Mar-26</t>
        </is>
      </c>
      <c r="P64" s="19" t="inlineStr">
        <is>
          <t>2pm</t>
        </is>
      </c>
      <c r="Q64" s="19" t="inlineStr">
        <is>
          <t>LTX Cardiology</t>
        </is>
      </c>
      <c r="R64" s="19" t="n">
        <v>46097</v>
      </c>
      <c r="S64" s="19" t="inlineStr">
        <is>
          <t>Ms. Zaheen Ms. Nasira</t>
        </is>
      </c>
      <c r="T64" s="19" t="n">
        <v>46105</v>
      </c>
      <c r="U64" s="19" t="inlineStr">
        <is>
          <t>Medical</t>
        </is>
      </c>
      <c r="V64" s="19" t="inlineStr">
        <is>
          <t>Quality of Care</t>
        </is>
      </c>
      <c r="W64" s="19" t="inlineStr">
        <is>
          <t>Moderate</t>
        </is>
      </c>
      <c r="X64" s="19" t="inlineStr">
        <is>
          <t>No</t>
        </is>
      </c>
      <c r="Y64" s="19" t="inlineStr">
        <is>
          <t>Date. 3/11/2026 The patient is an LDLT candidate who recently underwent PCI (Percutaneous Coronary Intervention). The PCI procedure was performed on 10/03/2026 at 13:30 at IMC Hospital, Lahore. The patient was subsequently discharged from IMC on 11/03/2026 at 10:00 AM. Immediately after discharge from IMC, the patient was called to PKLI for evaluation/reassessment for anesthesia by the liver transplant clinical coordinator Mr. Kashif. Upon arrival at PKLI, the patient appeared drowsy and tired. The attendant took the patient to AMU, where she was assessed and then sent back to IPD-2. Later, when the patient presented to the Anesthesia Clinic, she was still drowsy, tired, and slightly disoriented. Considering the patient’s recent PCI and overall clinical condition, she was at high risk, and her condition was not appropriate for immediate OPD assessment after discharge. Ideally, the patient should have been allowed to go home, rest, and recover after the PCI, and the evaluation could have been scheduled at a later time. Additionally, the patient had already been scheduled for another visit in same condition in OPD visit on 12/03/2026 for routine blood tests. The patient’s condition at that time was not suitable for OPD visits. I contacted the Liver Transplant Surgeon and informed them about the situation and the patient’s condition. Patient’s husband was informed about condition</t>
        </is>
      </c>
      <c r="Z64" s="19" t="inlineStr">
        <is>
          <t>No Gap identified from the cardiology and LTX staff as the patient came by himself.</t>
        </is>
      </c>
      <c r="AA64" s="19" t="inlineStr">
        <is>
          <t>Not Required.</t>
        </is>
      </c>
      <c r="AB64" s="19" t="n"/>
      <c r="AC64" s="19" t="inlineStr">
        <is>
          <t>Y</t>
        </is>
      </c>
      <c r="AD64" s="19" t="n">
        <v>1</v>
      </c>
    </row>
    <row r="65">
      <c r="A65" s="19" t="n">
        <v>64</v>
      </c>
      <c r="B65" s="19" t="n">
        <v>2026</v>
      </c>
      <c r="C65" s="19" t="inlineStr">
        <is>
          <t>March</t>
        </is>
      </c>
      <c r="D65" s="19" t="n">
        <v>46099</v>
      </c>
      <c r="E65" s="19" t="inlineStr">
        <is>
          <t>C-001-18-03-2026</t>
        </is>
      </c>
      <c r="F65" s="19" t="n">
        <v>46099</v>
      </c>
      <c r="G65" s="19" t="n"/>
      <c r="H65" s="19" t="n"/>
      <c r="I65" s="19" t="n"/>
      <c r="J65" s="19" t="n"/>
      <c r="K65" s="19" t="n"/>
      <c r="L65" s="19" t="n">
        <v>46099</v>
      </c>
      <c r="M65" s="19" t="n">
        <v>46099</v>
      </c>
      <c r="N65" s="19" t="n"/>
      <c r="O65" s="19" t="n"/>
      <c r="P65" s="19" t="n"/>
      <c r="Q65" s="19" t="inlineStr">
        <is>
          <t>OPD</t>
        </is>
      </c>
      <c r="R65" s="19" t="n">
        <v>46105</v>
      </c>
      <c r="S65" s="19" t="inlineStr">
        <is>
          <t>Mr. Bilal</t>
        </is>
      </c>
      <c r="T65" s="19" t="n"/>
      <c r="U65" s="19" t="inlineStr">
        <is>
          <t>Hospital</t>
        </is>
      </c>
      <c r="V65" s="19" t="inlineStr">
        <is>
          <t>Staff Negligence</t>
        </is>
      </c>
      <c r="W65" s="19" t="inlineStr">
        <is>
          <t>Moderate</t>
        </is>
      </c>
      <c r="X65" s="19" t="inlineStr">
        <is>
          <t>No</t>
        </is>
      </c>
      <c r="Y65" s="19" t="inlineStr">
        <is>
          <t>DISCHARGE SUMMARIES MISSING FROM CONFIDENTIAL FILE BY FDO. ALREADY PLACE A COMPLAIN MULTIPLE TIMES BUT NO ACTION TAKEN.</t>
        </is>
      </c>
      <c r="Z65" s="19" t="n"/>
      <c r="AA65" s="19" t="n"/>
      <c r="AB65" s="19" t="n"/>
      <c r="AC65" s="19" t="n"/>
      <c r="AD65" s="19" t="n">
        <v>1</v>
      </c>
    </row>
    <row r="66">
      <c r="A66" s="19" t="n">
        <v>65</v>
      </c>
      <c r="B66" s="19" t="n">
        <v>2026</v>
      </c>
      <c r="C66" s="19" t="inlineStr">
        <is>
          <t>March</t>
        </is>
      </c>
      <c r="D66" s="19" t="n">
        <v>46105</v>
      </c>
      <c r="E66" s="19" t="inlineStr">
        <is>
          <t>C-001-24-03-2026</t>
        </is>
      </c>
      <c r="F66" s="19" t="n">
        <v>46105</v>
      </c>
      <c r="G66" s="19" t="n"/>
      <c r="H66" s="19" t="n"/>
      <c r="I66" s="19" t="n"/>
      <c r="J66" s="19" t="n"/>
      <c r="K66" s="19" t="n"/>
      <c r="L66" s="19" t="n">
        <v>46105</v>
      </c>
      <c r="M66" s="19" t="n">
        <v>46105</v>
      </c>
      <c r="N66" s="19" t="inlineStr">
        <is>
          <t>27-Mar-26 3PM</t>
        </is>
      </c>
      <c r="O66" s="19" t="inlineStr">
        <is>
          <t>27-Mar-26</t>
        </is>
      </c>
      <c r="P66" s="19" t="inlineStr">
        <is>
          <t>3PM</t>
        </is>
      </c>
      <c r="Q66" s="19" t="inlineStr">
        <is>
          <t>Nursing</t>
        </is>
      </c>
      <c r="R66" s="19" t="n">
        <v>46105</v>
      </c>
      <c r="S66" s="19" t="inlineStr">
        <is>
          <t>Mr. Bilal</t>
        </is>
      </c>
      <c r="T66" s="19" t="n">
        <v>46139</v>
      </c>
      <c r="U66" s="19" t="inlineStr">
        <is>
          <t>Hospital</t>
        </is>
      </c>
      <c r="V66" s="19" t="inlineStr">
        <is>
          <t>Delay in Care - Room Cleaning</t>
        </is>
      </c>
      <c r="W66" s="19" t="inlineStr">
        <is>
          <t>Minor</t>
        </is>
      </c>
      <c r="X66" s="19" t="inlineStr">
        <is>
          <t>Yes</t>
        </is>
      </c>
      <c r="Y66" s="19" t="inlineStr">
        <is>
          <t>Subject: Serious Feedback – Management Failure at 5th Floor IPD (Room B-517) To the Management, I’m writing this because I actually care about the reputation of this hospital, but what I experienced today during my father’s shift from ICU to IPD (Room B-517) was a total mess. My father just had his URS and TURBT surgery yesterday—he’s a sensitive post-op patient—yet the coordination between the 4th and 5th floors was non-existent. Here’s exactly what went wrong: The Room wasn't Ready: We were sent to B-517, but it clearly hadn't been cleaned. The sheets weren't changed, and the hygiene was visibly poor. Zero Seriousness: The AC button wasn't working, keeping the room at 23°C. For a patient in his condition, that’s a big deal. I was told "someone is coming" for 30 minutes, but no one showed up. Even a basic blanket took 45 minutes to arrive. The "Blame Game" Culture: Instead of just fixing the problem, every staff member I spoke to was busy blaming someone else. I wasn't looking for a debate or a justification; I was looking for a solution. Showing irritation toward a family member who is being calm and respectful is unprofessional. Lack of Transparency: When I asked the receptionist if she even got the notification from the 4th floor about our room, she dodged the question. This isn't a sales job where you "manage" the customer; this is a hospital where you provide results. On our first day in Room B-516, I was genuinely impressed by the staff and the coordination. Today was the complete opposite. It felt like I was asking for a favour rather than a service we are paying for. I’m sharing this not just for my father’s sake, but because your organization is losing its "grace" due to this lack of ownership. I hope you look into why the 5th-floor team is struggling with basic coordination and accountability today.</t>
        </is>
      </c>
      <c r="Z66" s="19" t="n"/>
      <c r="AA66" s="19" t="n"/>
      <c r="AB66" s="19" t="n"/>
      <c r="AC66" s="19" t="n"/>
      <c r="AD66" s="19" t="n">
        <v>1</v>
      </c>
    </row>
    <row r="67">
      <c r="A67" s="19" t="n">
        <v>66</v>
      </c>
      <c r="B67" s="19" t="n">
        <v>2026</v>
      </c>
      <c r="C67" s="19" t="inlineStr">
        <is>
          <t>March</t>
        </is>
      </c>
      <c r="D67" s="19" t="n">
        <v>46105</v>
      </c>
      <c r="E67" s="19" t="inlineStr">
        <is>
          <t>C-002-24-03-2026</t>
        </is>
      </c>
      <c r="F67" s="19" t="n">
        <v>46105</v>
      </c>
      <c r="G67" s="19" t="n"/>
      <c r="H67" s="19" t="n"/>
      <c r="I67" s="19" t="n"/>
      <c r="J67" s="19" t="n"/>
      <c r="K67" s="19" t="n"/>
      <c r="L67" s="19" t="n">
        <v>46105</v>
      </c>
      <c r="M67" s="19" t="n">
        <v>46105</v>
      </c>
      <c r="N67" s="19" t="inlineStr">
        <is>
          <t>27-Mar-26 2PM</t>
        </is>
      </c>
      <c r="O67" s="19" t="inlineStr">
        <is>
          <t>27-Mar-26</t>
        </is>
      </c>
      <c r="P67" s="19" t="inlineStr">
        <is>
          <t>2PM</t>
        </is>
      </c>
      <c r="Q67" s="19" t="inlineStr">
        <is>
          <t>Security/Admin</t>
        </is>
      </c>
      <c r="R67" s="19" t="n">
        <v>46105</v>
      </c>
      <c r="S67" s="19" t="inlineStr">
        <is>
          <t>Mr. Iftikhar Khan</t>
        </is>
      </c>
      <c r="T67" s="19" t="n">
        <v>46107</v>
      </c>
      <c r="U67" s="19" t="inlineStr">
        <is>
          <t>Hospital</t>
        </is>
      </c>
      <c r="V67" s="19" t="inlineStr">
        <is>
          <t>Staff Attitude</t>
        </is>
      </c>
      <c r="W67" s="19" t="inlineStr">
        <is>
          <t>Minor</t>
        </is>
      </c>
      <c r="X67" s="19" t="inlineStr">
        <is>
          <t>Yes</t>
        </is>
      </c>
      <c r="Y67" s="19" t="inlineStr">
        <is>
          <t>AOL. I’m Beenish Nauman I done my liver transplant in PKLI hospital. They discharged me on 19-03-2026 Almost two month she is visiting this hospital, yesterday on 22-03-26 she changed her liver discharge bag because bag was leaking and today 23-03-26 again we are here for change her bandage … I’m complaining about your security people on gate number 1 they are very miss behaving with my wife on gate. she showed them her MR card. They argued with her. that’s not nice, we are here for treatment not for being miss behaved, they don’t know how to talk with patient. kindly it is humble request, hire some educated people. This is a one off the best hospital in Pakistan we very appreciate all doctors and other staff, but I’m not satisfied we your security people. I’m sending this email on chief minister Maryam Nawaz as well.</t>
        </is>
      </c>
      <c r="Z67" s="19" t="inlineStr">
        <is>
          <t>No Gap identified No evidence of misbehaviour was found as the patient and attendant arrived on holiday , the security guard asked about their purpose of visit,and whether they were new or registered patient upon which the attendant became angry and filed complaint.</t>
        </is>
      </c>
      <c r="AA67" s="19" t="inlineStr">
        <is>
          <t>Not Required.</t>
        </is>
      </c>
      <c r="AB67" s="19" t="n"/>
      <c r="AC67" s="19" t="n"/>
      <c r="AD67" s="19" t="n">
        <v>1</v>
      </c>
    </row>
    <row r="68">
      <c r="A68" s="19" t="n">
        <v>67</v>
      </c>
      <c r="B68" s="19" t="n">
        <v>2026</v>
      </c>
      <c r="C68" s="19" t="inlineStr">
        <is>
          <t>March</t>
        </is>
      </c>
      <c r="D68" s="19" t="n">
        <v>46108</v>
      </c>
      <c r="E68" s="19" t="inlineStr">
        <is>
          <t>C-001-27-03-2026</t>
        </is>
      </c>
      <c r="F68" s="19" t="n">
        <v>46108</v>
      </c>
      <c r="G68" s="19" t="inlineStr">
        <is>
          <t>M. Ameen</t>
        </is>
      </c>
      <c r="H68" s="19" t="n">
        <v>1149125</v>
      </c>
      <c r="I68" s="19" t="inlineStr">
        <is>
          <t>Ebad ur Rehman</t>
        </is>
      </c>
      <c r="J68" s="19" t="inlineStr">
        <is>
          <t>0370-4548811</t>
        </is>
      </c>
      <c r="K68" s="19" t="inlineStr">
        <is>
          <t>Vehari</t>
        </is>
      </c>
      <c r="L68" s="19" t="n">
        <v>46108</v>
      </c>
      <c r="M68" s="19" t="n">
        <v>46108</v>
      </c>
      <c r="N68" s="19" t="inlineStr">
        <is>
          <t>4/1/2026 2pm</t>
        </is>
      </c>
      <c r="O68" s="19" t="inlineStr">
        <is>
          <t>4/1/2026</t>
        </is>
      </c>
      <c r="P68" s="19" t="inlineStr">
        <is>
          <t>2pm</t>
        </is>
      </c>
      <c r="Q68" s="19" t="inlineStr">
        <is>
          <t>OPD</t>
        </is>
      </c>
      <c r="R68" s="19" t="n">
        <v>46111</v>
      </c>
      <c r="S68" s="19" t="inlineStr">
        <is>
          <t>Mr. Umair</t>
        </is>
      </c>
      <c r="T68" s="19" t="inlineStr">
        <is>
          <t>Received</t>
        </is>
      </c>
      <c r="U68" s="19" t="inlineStr">
        <is>
          <t>Hospital</t>
        </is>
      </c>
      <c r="V68" s="19" t="inlineStr">
        <is>
          <t>Delay in Care - Appointment</t>
        </is>
      </c>
      <c r="W68" s="19" t="inlineStr">
        <is>
          <t>Minor</t>
        </is>
      </c>
      <c r="X68" s="19" t="inlineStr">
        <is>
          <t>No</t>
        </is>
      </c>
      <c r="Y68" s="19" t="inlineStr">
        <is>
          <t>We came in PKLI on 26-03-26 at gate no.9. Our token number was 1007. Doctor checked our patient. We were told that relevant doctor appointment will be available in July,26 or we can get executive clinic appointment in May 2026. This is too late. Poor management, not fair with patient's problems. Fair with money, and lot of patients passes away without proper treatment our patient couldn't get cure. Poor system.</t>
        </is>
      </c>
      <c r="Z68" s="19" t="inlineStr">
        <is>
          <t>No Gap identified as the as the available appointments were communicated to the patients.</t>
        </is>
      </c>
      <c r="AA68" s="19" t="inlineStr">
        <is>
          <t>Early appointment was adjusted with Dr. Khurram Anis.</t>
        </is>
      </c>
      <c r="AB68" s="19" t="n"/>
      <c r="AC68" s="19" t="inlineStr">
        <is>
          <t>Y</t>
        </is>
      </c>
      <c r="AD68" s="19" t="n">
        <v>1</v>
      </c>
    </row>
    <row r="69">
      <c r="A69" s="19" t="n">
        <v>68</v>
      </c>
      <c r="B69" s="19" t="n">
        <v>2026</v>
      </c>
      <c r="C69" s="19" t="inlineStr">
        <is>
          <t>March</t>
        </is>
      </c>
      <c r="D69" s="19" t="n">
        <v>46108</v>
      </c>
      <c r="E69" s="19" t="inlineStr">
        <is>
          <t>C-002-27-03-2026</t>
        </is>
      </c>
      <c r="F69" s="19" t="n">
        <v>46108</v>
      </c>
      <c r="G69" s="19" t="n"/>
      <c r="H69" s="19" t="n"/>
      <c r="I69" s="19" t="n"/>
      <c r="J69" s="19" t="n"/>
      <c r="K69" s="19" t="n"/>
      <c r="L69" s="19" t="n">
        <v>46108</v>
      </c>
      <c r="M69" s="19" t="n">
        <v>46108</v>
      </c>
      <c r="N69" s="19" t="inlineStr">
        <is>
          <t>4/1/2026 2pm</t>
        </is>
      </c>
      <c r="O69" s="19" t="inlineStr">
        <is>
          <t>4/1/2026</t>
        </is>
      </c>
      <c r="P69" s="19" t="inlineStr">
        <is>
          <t>2pm</t>
        </is>
      </c>
      <c r="Q69" s="19" t="inlineStr">
        <is>
          <t>Radiology/ Pharmacy</t>
        </is>
      </c>
      <c r="R69" s="19" t="n">
        <v>46111</v>
      </c>
      <c r="S69" s="19" t="inlineStr">
        <is>
          <t>Mr. Qudoos/ Ms. Sana</t>
        </is>
      </c>
      <c r="T69" s="19" t="n"/>
      <c r="U69" s="19" t="inlineStr">
        <is>
          <t>Medical Hospital</t>
        </is>
      </c>
      <c r="V69" s="19" t="inlineStr">
        <is>
          <t>Delay in Care - Stent Placement</t>
        </is>
      </c>
      <c r="W69" s="19" t="inlineStr">
        <is>
          <t>Major</t>
        </is>
      </c>
      <c r="X69" s="19" t="inlineStr">
        <is>
          <t>Yes</t>
        </is>
      </c>
      <c r="Y69" s="19" t="inlineStr">
        <is>
          <t>I am currently under treatment at PKLI Hospital and underwent a transplant approximately one and a half years ago. Considering my current medical condition, I was admitted to the hospital around three to four months ago for the placement of a stent, which was scheduled to be performed in the Interventional Radiology (IR) Department. However, at that time, I was discharged with the explanation that the stent was not available and would be provided later. Unfortunately, to date, neither has the stent been provided nor has there been any practical progress in this regard. Due to this delay, my health condition is continuously deteriorating, and my blood pressure rises to dangerous levels. Medications were also prescribed by the doctor for this condition, but unfortunately, those medicines are also not available at the hospital. I therefore request you to kindly take immediate notice of this serious matter and instruct the concerned department to ensure the urgent provision of the stent and necessary medications so that my treatment can be completed in a timely manner.</t>
        </is>
      </c>
      <c r="Z69" s="19" t="n"/>
      <c r="AA69" s="19" t="n"/>
      <c r="AB69" s="19" t="n"/>
      <c r="AC69" s="19" t="n"/>
      <c r="AD69" s="19" t="n">
        <v>1</v>
      </c>
    </row>
    <row r="70">
      <c r="A70" s="19" t="n">
        <v>69</v>
      </c>
      <c r="B70" s="19" t="n">
        <v>2026</v>
      </c>
      <c r="C70" s="19" t="inlineStr">
        <is>
          <t>March</t>
        </is>
      </c>
      <c r="D70" s="19" t="n">
        <v>46111</v>
      </c>
      <c r="E70" s="19" t="inlineStr">
        <is>
          <t>C-001-30-03-2026</t>
        </is>
      </c>
      <c r="F70" s="19" t="n">
        <v>46111</v>
      </c>
      <c r="G70" s="19" t="n"/>
      <c r="H70" s="19" t="n"/>
      <c r="I70" s="19" t="inlineStr">
        <is>
          <t>Abdul Quddus</t>
        </is>
      </c>
      <c r="J70" s="19" t="inlineStr">
        <is>
          <t>0345-5826682</t>
        </is>
      </c>
      <c r="K70" s="19" t="inlineStr">
        <is>
          <t>PKLI</t>
        </is>
      </c>
      <c r="L70" s="19" t="n">
        <v>46111</v>
      </c>
      <c r="M70" s="19" t="n">
        <v>46112</v>
      </c>
      <c r="N70" s="19" t="inlineStr">
        <is>
          <t>7-Apr-26 2pm</t>
        </is>
      </c>
      <c r="O70" s="19" t="inlineStr">
        <is>
          <t>7-Apr-26</t>
        </is>
      </c>
      <c r="P70" s="19" t="inlineStr">
        <is>
          <t>2pm</t>
        </is>
      </c>
      <c r="Q70" s="19" t="inlineStr">
        <is>
          <t>IT Department</t>
        </is>
      </c>
      <c r="R70" s="19" t="n">
        <v>46112</v>
      </c>
      <c r="S70" s="19" t="inlineStr">
        <is>
          <t>Mr. Asif</t>
        </is>
      </c>
      <c r="T70" s="19" t="n">
        <v>46122</v>
      </c>
      <c r="U70" s="19" t="inlineStr">
        <is>
          <t>(Blank)</t>
        </is>
      </c>
      <c r="V70" s="19" t="inlineStr">
        <is>
          <t>Emergency Code Failure</t>
        </is>
      </c>
      <c r="W70" s="19" t="inlineStr">
        <is>
          <t>Serious</t>
        </is>
      </c>
      <c r="X70" s="19" t="inlineStr">
        <is>
          <t>No</t>
        </is>
      </c>
      <c r="Y70" s="19" t="inlineStr">
        <is>
          <t>Date of event: 25-03-2026, Time of event: 12:29Pm A patient came to CT scan for CT Guided mass, as patient was shifted to CT table for biopsy planning. Patient collapse suddenly after some time, multiple calls were made for Medical Emergency Code 3333, but it appeared on telephone screen "CODE BLUE out of services". Which was a critical situation to handle such medical emergency. Then radiology department directly contacted medical code team on personal phone numbers. Medical emergency Staff reached afterward, and patient was reverted back then. Screen photo was also taken as proof for failure to contact to code blue services number. This was a high-level patient safety incident to be reported, and it should be solved on priority basis in order to avoid such situation in future.</t>
        </is>
      </c>
      <c r="Z70" s="19" t="n"/>
      <c r="AA70" s="19" t="n"/>
      <c r="AB70" s="19" t="n"/>
      <c r="AC70" s="19" t="n"/>
      <c r="AD70" s="19" t="n">
        <v>1</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2026-06-14T08:40:28Z</dcterms:created>
  <dcterms:modified xmlns:dcterms="http://purl.org/dc/terms/" xmlns:xsi="http://www.w3.org/2001/XMLSchema-instance" xsi:type="dcterms:W3CDTF">2026-06-14T08:40:28Z</dcterms:modified>
</cp:coreProperties>
</file>